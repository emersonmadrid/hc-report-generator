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2\Downloads\automatizar\septiembre\"/>
    </mc:Choice>
  </mc:AlternateContent>
  <xr:revisionPtr revIDLastSave="0" documentId="13_ncr:1_{5F2AE357-65B1-4815-A644-D53AE99851E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nex5-CONSULTA EXTERNA" sheetId="1" r:id="rId1"/>
    <sheet name="anex5-instructivo" sheetId="14" r:id="rId2"/>
    <sheet name="evalúa anexo5 -lleno 1HC" sheetId="18" r:id="rId3"/>
    <sheet name="Gráfico1" sheetId="20" r:id="rId4"/>
    <sheet name="ejemplo -variasHC" sheetId="19" r:id="rId5"/>
  </sheets>
  <definedNames>
    <definedName name="RANGE_A2_C49" localSheetId="0">'anex5-CONSULTA EXTERNA'!#REF!</definedName>
    <definedName name="RANGE_B1_E129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" i="19" l="1"/>
  <c r="N78" i="19"/>
  <c r="M78" i="19"/>
  <c r="L78" i="19"/>
  <c r="O71" i="19"/>
  <c r="N71" i="19"/>
  <c r="L71" i="19"/>
  <c r="O62" i="19"/>
  <c r="N62" i="19"/>
  <c r="M62" i="19"/>
  <c r="L62" i="19"/>
  <c r="O54" i="19"/>
  <c r="N54" i="19"/>
  <c r="M54" i="19"/>
  <c r="L54" i="19"/>
  <c r="O49" i="19"/>
  <c r="N49" i="19"/>
  <c r="M49" i="19"/>
  <c r="O42" i="19"/>
  <c r="N42" i="19"/>
  <c r="M42" i="19"/>
  <c r="O34" i="19"/>
  <c r="N34" i="19"/>
  <c r="M34" i="19"/>
  <c r="L83" i="18"/>
  <c r="L81" i="18"/>
  <c r="L78" i="18"/>
  <c r="L71" i="18"/>
  <c r="L62" i="18"/>
  <c r="L54" i="18"/>
  <c r="L49" i="18"/>
  <c r="L42" i="18"/>
  <c r="L34" i="18"/>
  <c r="M83" i="1"/>
  <c r="L83" i="1"/>
  <c r="M81" i="1"/>
  <c r="L81" i="1"/>
  <c r="M78" i="1"/>
  <c r="L78" i="1"/>
  <c r="M71" i="1"/>
  <c r="L71" i="1"/>
  <c r="M62" i="1"/>
  <c r="L62" i="1"/>
  <c r="M54" i="1"/>
  <c r="L54" i="1"/>
  <c r="M49" i="1"/>
  <c r="L49" i="1"/>
  <c r="M42" i="1"/>
  <c r="L42" i="1"/>
  <c r="M34" i="1"/>
  <c r="L34" i="1"/>
</calcChain>
</file>

<file path=xl/sharedStrings.xml><?xml version="1.0" encoding="utf-8"?>
<sst xmlns="http://schemas.openxmlformats.org/spreadsheetml/2006/main" count="619" uniqueCount="232">
  <si>
    <t>ANEXO N° 5</t>
  </si>
  <si>
    <t xml:space="preserve"> FORMATO DE EVALUACIÓN DE LA CALIDAD DE REGISTO EN CONSULTA EXTERNA </t>
  </si>
  <si>
    <t>HC N°</t>
  </si>
  <si>
    <t>I) DATOS GENERALES DE LA AUDITORÍA</t>
  </si>
  <si>
    <t xml:space="preserve">MIEMBROS DEL COMITÉ </t>
  </si>
  <si>
    <t xml:space="preserve">NUMERO DE AUDITORÍA </t>
  </si>
  <si>
    <t>FECHA DE AUDITORÍA</t>
  </si>
  <si>
    <t>SERVICIO AUDITADO</t>
  </si>
  <si>
    <t>ASUNTO</t>
  </si>
  <si>
    <t>FECHA DE LA ATENCIÓN BRINDADA</t>
  </si>
  <si>
    <t>CODIFICACIÓN DE LA HISTORIA CLÍNICA</t>
  </si>
  <si>
    <t>CODIFICACIÓN DEL PERSONAL TRATANTE</t>
  </si>
  <si>
    <t>DIAGNÓSTICO  DEL ALTA</t>
  </si>
  <si>
    <t>CIE 10</t>
  </si>
  <si>
    <t>II) OBSERVACIONES</t>
  </si>
  <si>
    <t xml:space="preserve">FILIACIÓN </t>
  </si>
  <si>
    <t>COMPLETO</t>
  </si>
  <si>
    <t>INCOMPLETO</t>
  </si>
  <si>
    <t xml:space="preserve">EN EXCESO </t>
  </si>
  <si>
    <t>NO EXISTE</t>
  </si>
  <si>
    <t>NO APLICA</t>
  </si>
  <si>
    <t>Número de historia clínica</t>
  </si>
  <si>
    <t>Nombres y apellidos del paciente</t>
  </si>
  <si>
    <t>Tipo y número de Seguro</t>
  </si>
  <si>
    <t>NA</t>
  </si>
  <si>
    <t>Lugar y fecha de nacimiento</t>
  </si>
  <si>
    <t>Edad</t>
  </si>
  <si>
    <t>Sexo</t>
  </si>
  <si>
    <t>Domicilio actual</t>
  </si>
  <si>
    <t xml:space="preserve">Lugar de Procedencia </t>
  </si>
  <si>
    <t xml:space="preserve">Documento de identificación </t>
  </si>
  <si>
    <t>Estado Civil</t>
  </si>
  <si>
    <t>Grado de instrucción</t>
  </si>
  <si>
    <t>Ocupación</t>
  </si>
  <si>
    <t>Religión</t>
  </si>
  <si>
    <t>Teléfono</t>
  </si>
  <si>
    <t>Acompañante</t>
  </si>
  <si>
    <t xml:space="preserve">Domicilio y/o teléfono de la persona responsable </t>
  </si>
  <si>
    <t xml:space="preserve">SUBTOTAL </t>
  </si>
  <si>
    <t>ANAMNESIS</t>
  </si>
  <si>
    <t>Fecha y hora de atención</t>
  </si>
  <si>
    <t xml:space="preserve">Motivo de la consulta </t>
  </si>
  <si>
    <t>Tiempo de enfermedad</t>
  </si>
  <si>
    <t xml:space="preserve">Relato cronológico </t>
  </si>
  <si>
    <t>Funciones Biológicas</t>
  </si>
  <si>
    <t>Antecedentes</t>
  </si>
  <si>
    <t>SUBTOTAL</t>
  </si>
  <si>
    <t>EXAMEN CLÍNICO</t>
  </si>
  <si>
    <t xml:space="preserve">Examen Clínico General </t>
  </si>
  <si>
    <t>Funciones vitales  T°, FR, FC, PA.</t>
  </si>
  <si>
    <t xml:space="preserve">Peso, Talla </t>
  </si>
  <si>
    <t xml:space="preserve">Estado general, estado de hidratación, estado de nutrición, estado de conciencia, piel y anexos. </t>
  </si>
  <si>
    <t xml:space="preserve">Examen Clínico Regional </t>
  </si>
  <si>
    <t xml:space="preserve">DIAGNÓSTICOS </t>
  </si>
  <si>
    <t>a) Presuntivo coherente</t>
  </si>
  <si>
    <t>b) Definitivo coherente</t>
  </si>
  <si>
    <t>c) Uso del CIE 10</t>
  </si>
  <si>
    <t xml:space="preserve">PLAN DE TRABAJO </t>
  </si>
  <si>
    <t>Exámenes de Patología Clínica  pertinentes</t>
  </si>
  <si>
    <t>Exámenes de Diagnóstico por Imágenes  pertinentes</t>
  </si>
  <si>
    <t>Interconsultas (a otros servicios dentro del establecimiento de saludpertinentes )</t>
  </si>
  <si>
    <t xml:space="preserve">Referencias a otros establecimientos de salud. </t>
  </si>
  <si>
    <t>NA </t>
  </si>
  <si>
    <t xml:space="preserve">Procedimientos diagnósticos y/o terapéuticos pertinentes.   </t>
  </si>
  <si>
    <t>0 </t>
  </si>
  <si>
    <t xml:space="preserve">Fecha de próxima cita. </t>
  </si>
  <si>
    <t>TRATAMIENTO</t>
  </si>
  <si>
    <t>Régimen higiénico-dietético y medidas generales concordantes y coherentes.</t>
  </si>
  <si>
    <t>2 </t>
  </si>
  <si>
    <t>Nombre de medicamentos coherentes y concordante con Denominación Común Internacional (DCI)</t>
  </si>
  <si>
    <t>           2</t>
  </si>
  <si>
    <t>Consigna presentación</t>
  </si>
  <si>
    <t>Dosis del medicamento</t>
  </si>
  <si>
    <t xml:space="preserve">Vía de administración </t>
  </si>
  <si>
    <t>Frecuencia del medicamento</t>
  </si>
  <si>
    <t xml:space="preserve">Duración del tratamiento </t>
  </si>
  <si>
    <t>0.5 </t>
  </si>
  <si>
    <t>ATRIBUTOS DE LA HISTORIA CLÍNICA</t>
  </si>
  <si>
    <t>Se cuenta con Formatos de Atención Integral por etapas de vida ( Primer Nivel de Atención)</t>
  </si>
  <si>
    <t> 0</t>
  </si>
  <si>
    <t>Pulcritud</t>
  </si>
  <si>
    <t xml:space="preserve">Letra legible </t>
  </si>
  <si>
    <t xml:space="preserve">No uso de abreviaturas </t>
  </si>
  <si>
    <t xml:space="preserve">Sello y firma del médico tratante </t>
  </si>
  <si>
    <t xml:space="preserve">SEGUIMIENTO DE LA EVOLUCIÓN </t>
  </si>
  <si>
    <t xml:space="preserve">TOTAL </t>
  </si>
  <si>
    <t>PUNTAJE TOTAL OBTENIDO EN LA EVALUACIÓN</t>
  </si>
  <si>
    <t>PUNTAJE CONSIDERADO COMO NO APLICA</t>
  </si>
  <si>
    <t>PORCENTAJE DE CUMPLIMIENTO ALCANZADO</t>
  </si>
  <si>
    <t xml:space="preserve">CALIFICACIÓN SEGÚN PUNTUACIÓN </t>
  </si>
  <si>
    <t>(marque x en el lugar que corresponda)</t>
  </si>
  <si>
    <t>SATISFACTORIO</t>
  </si>
  <si>
    <t>IGUAL O MAYOR 90%</t>
  </si>
  <si>
    <t>POR MEJORAR</t>
  </si>
  <si>
    <t xml:space="preserve">ENTRE 75  A 89 % </t>
  </si>
  <si>
    <t>DEFICIENTE</t>
  </si>
  <si>
    <t>MENOS 75%</t>
  </si>
  <si>
    <t>III.- NO CONFORMIDADES</t>
  </si>
  <si>
    <t>IV.- CONCLUSIONES</t>
  </si>
  <si>
    <t>V.- RECOMENDACIONES</t>
  </si>
  <si>
    <t>INSTRUCTIVO DEL ANEXO Nº 5</t>
  </si>
  <si>
    <t>INSTRUCTIVO DEL FORMATO DE EVALUACIÓN DE LA CALIDAD DE REGISTO EN CONSULTA EXTERNA</t>
  </si>
  <si>
    <t>I.- DATOS GENERALES DE LA AUDITORÍA</t>
  </si>
  <si>
    <t>MIEMBROS DEL COMITÉ DE AUDITORIA</t>
  </si>
  <si>
    <t>Nombres completos de los auditores</t>
  </si>
  <si>
    <t xml:space="preserve">NÚMERO DE AUDITORÍA </t>
  </si>
  <si>
    <t>Número de auditoría realizada</t>
  </si>
  <si>
    <t>Fecha en que se realiza la auditoria</t>
  </si>
  <si>
    <t>Servicio seleccionado para realizar la auditoria</t>
  </si>
  <si>
    <t>Tema sobre el cual se audita (Atención emergencia con observación del Tópico de Medicina, Tópico de Cirugía, etc.)</t>
  </si>
  <si>
    <t>Fecha de la atención.</t>
  </si>
  <si>
    <t>Colocar el número de la historia clínica.</t>
  </si>
  <si>
    <t>Registro de matrícula del Colegio profesional.</t>
  </si>
  <si>
    <t>Diagnóstico presuntivo y/o definitivo que figura en la Historia Clínica</t>
  </si>
  <si>
    <t>AUDITORÍA POR DIAGNÓSTICO</t>
  </si>
  <si>
    <t>Se selecciona la última consulta correspondiente al diagnóstico definitivo a auditar, si esta es una consulta de seguimiento para estudio diagnóstico o control se evaluará la información de la  primera consulta correspondiente al episodio actual de dicho diagnóstico, a la cual se aplicará la ficha de consulta externa.</t>
  </si>
  <si>
    <t>Para la evaluación del Ítem seguimiento y control de la evolución este se aplicará a las consultas posteriores a la primera consulta del episodio actual (en caso de ser un paciente crónico en el cual la primera consulta es de un periodo largo se aplicará el seguimiento a las 10 últimas consultas)</t>
  </si>
  <si>
    <t>AUDITORÍA DE UNA CONSULTA</t>
  </si>
  <si>
    <t>Se selecciona una consulta de las historias clínicas que correspondan a la primera consulta o reevaluación completa de un determinado diagnóstico (independientemente del diagnóstico). Se Aplica la Ficha Completa excepto el ítem referente a seguimiento y control de la evolución.</t>
  </si>
  <si>
    <t>II.- OBSERVACIONES</t>
  </si>
  <si>
    <t>FILIACIÓN</t>
  </si>
  <si>
    <t xml:space="preserve">Completo: Registro en la primera consulta de los datos correspondientes a la filiación, los cuales son en número de 16 en la ficha de  Consulta externa. </t>
  </si>
  <si>
    <t>No existe: No se registran los datos.</t>
  </si>
  <si>
    <t xml:space="preserve">ANAMNESIS </t>
  </si>
  <si>
    <t xml:space="preserve">FECHA Y HORA DE ATENCIÓN </t>
  </si>
  <si>
    <t>Completo: Se registra fecha y hora de la atención, Incompleta Se consigna solamente fecha u hora de atención, No existe: no se registran los datos.</t>
  </si>
  <si>
    <t xml:space="preserve">MOTIVO DE CONSULTA </t>
  </si>
  <si>
    <t>Completo: Signos y síntomas principales y/o otros motivos de la consulta, como consulta de control o evaluación de exámenes de apoyo al diagnóstico, etc.  No existe: no se registra el/los datos o no es concordante con el relato cronológico.</t>
  </si>
  <si>
    <t xml:space="preserve">TIEMPO DE ENFERMEDAD </t>
  </si>
  <si>
    <t xml:space="preserve">Completo: Se consigna el tiempo que refiere el paciente como inicio de la presentación de los signos y síntomas motivos de consulta. No existe: No se registra el dato. </t>
  </si>
  <si>
    <t>RELATO CRONOLÓGICO</t>
  </si>
  <si>
    <t xml:space="preserve">Completo: Claro, coherente, en orden cronológico, consigna características de  los signos y síntomas, motivos de consulta referentes a ubicación anatómica, forma de presentación relación con factores precipitantes, indagación de otros signos y síntomas asociados que contribuyan al diagnóstico, etc. Incompleto: no se consigna en orden cronológico adecuado, no se indaga por características de los signos y síntomas ni por factores u otros signos y/o síntomas asociados que puedan contribuir al diagnóstico. No existe: no se registra el dato. </t>
  </si>
  <si>
    <t xml:space="preserve">FUNCIONES BIOLÓGICAS </t>
  </si>
  <si>
    <t>Completo: Se registran los datos referentes a variaciones o no en el apetito, sed, sueño, orina, deposiciones, que contribuyan al diagnóstico del caso  Incompleto: Se registran solo algunas variables. No existe: No se Registra  ningún dato.</t>
  </si>
  <si>
    <t xml:space="preserve">ANTECEDENTES </t>
  </si>
  <si>
    <t xml:space="preserve">FISIOLÓGICOS, PATOLÓGICOS, EPIDEMIOLÓGICOS Y OCUPACIONALES </t>
  </si>
  <si>
    <t>Completo: Se registran todos los antecedentes pertinentes según la anamnesis que contribuyan a la orientación diagnóstica Incompleto: Se registran  los antecedentes según la anamnesis de manera parcial, No existe: no se registran  los datos correspondientes.</t>
  </si>
  <si>
    <t xml:space="preserve">FUNCIONES VITALES </t>
  </si>
  <si>
    <t xml:space="preserve">Completo: Se registran los datos completos referentes a Temperatura (Tº), Frecuencia respiratoria (FR), Frecuencia cardiaca (FC), Presión arterial (PA) (la P.A. en población pediátrica se consignará  solo en casos que lo amerite), Incompleta: No se registran  los datos completos. No existe : no se registra ningún dato  </t>
  </si>
  <si>
    <t xml:space="preserve">PESO , TALLA </t>
  </si>
  <si>
    <t xml:space="preserve">Completo: Se registran los datos de las variables. Incompleto: Se registran de manera parcial No existe: No se registran los datos  </t>
  </si>
  <si>
    <t xml:space="preserve">ESTADO DE HIDRATACIÓN, ESTADO DE NUTRICIÓN, NIVEL DE CONCIENCIA , PIEL Y ANEXOS </t>
  </si>
  <si>
    <t>Completo: Se registran estos datos como parte del examen físico general, los cuales contribuyan al diagnóstico. Incompleto: No se registran  los datos que contribuyan al diagnóstico, No existe: No se registra ningún dato sobre el particular.</t>
  </si>
  <si>
    <t>EXAMEN FÍSICO REGIONAL DIRIGIDO</t>
  </si>
  <si>
    <t>Completo: Se registran las No Conformidades positivas y negativas de los aparatos y sistemas pertinentes a evaluar según la anamnesis Incompleto: Se registra  de manera incompleta las No Conformidades positivas y negativas de los aparatos y sistemas pertinentes a evaluar según la anamnesis. No existe: No se registran los datos sobre el examen clínico regional.</t>
  </si>
  <si>
    <t xml:space="preserve">DIAGNOSTICO </t>
  </si>
  <si>
    <t>DIAGNÓSTICO PRESUNTIVO</t>
  </si>
  <si>
    <t>Completo Se registran todos los diagnósticos presuntivos concordantes con la anamnesis y el examen clínico, Incompleto: No se registran todos los diagnósticos presuntivos de acuerdo a la anamnesis y al examen clínico. No existe:  No se registran / No concordante con la anamnesis y el examen clínico</t>
  </si>
  <si>
    <t>DIAGNÓSTICO DEFINITIVO</t>
  </si>
  <si>
    <t>Completo Se registran todos los diagnósticos definitivos concordantes con la anamnesis, el examen clínico y/o resultado de exámenes de apoyo al diagnóstico.  Incompleto: No se registran todos los diagnósticos definitivos de acuerdo a la anamnesis, examen clínico y/o resultado de exámenes de apoyo al diagnóstico. No existe: No se registra / No concordante con la anamnesis, examen clínico y/o resultado de exámenes de apoyo al diagnóstico.</t>
  </si>
  <si>
    <t>Completo: Se registra de manera correcta el Código internacional de enfermedades (CIE 10) en todos los diagnósticos presuntivos y/o definitivos Incompleto: No se registra el CIE 10 en  todos los diagnósticos presuntivos y/o definitivos consignados. No existe: No se registran CIE 10.</t>
  </si>
  <si>
    <t xml:space="preserve"> PLAN DE TRABAJO</t>
  </si>
  <si>
    <t>EXAMENES DE PATOLOGÍA CLÍNICA (LABORATORIO)</t>
  </si>
  <si>
    <t xml:space="preserve">Completo: Concordantes con el/los diagnósticos presuntivos y/o definitivos a su vez concordantes con la anamnesis y el examen clínico.   Incompleta: No se solicitan todos los exámenes de patología clínica necesarios para confirmación diagnóstica como para control.  En exceso: Se solicitan además de los necesarios, exámenes de patología clínica no concordantes con las presunciones diagnósticas y/o las necesidades de exámenes de control. No existe: no se solicitan exámenes de patología clínica de corresponder y/o no son concordantes con los diagnósticos presuntivos y/o las necesidades de exámenes de  control. </t>
  </si>
  <si>
    <t xml:space="preserve">EXAMENES DE DIAGNÓSTICO POR IMÁGENES </t>
  </si>
  <si>
    <t xml:space="preserve">Completo: Concordantes con el/los diagnósticos presuntivos y/o definitivos a su vez concordantes con la anamnesis y el examen clínico   Incompleta: No se solicitan todos los exámenes de diagnósticos por imágenes  necesarios para confirmación diagnóstica como para control. En exceso: se solicitan además de los necesarios exámenes de diagnóstico por imágenes  no concordantes con las presunciones diagnósticas y/o las necesidades de exámenes de control, No existe: no se solicitan exámenes de diagnóstico por imágenes, de corresponder y/o no son concordantes con los diagnósticos presuntivos y/o las necesidades de exámenes de  control. </t>
  </si>
  <si>
    <t xml:space="preserve">INTERCONSULTAS </t>
  </si>
  <si>
    <t>Completo: Concordantes con el/los diagnósticos presuntivos y/o definitivos a su vez concordantes con la anamnesis y el examen clínico. Incompleta: No se solicitan todas los interconsultas  necesarias / no se solicitan oportunamente. En exceso: se solicitan además de las necesarias interconsultas que no corresponden, No existe: no se solicitan las interconsultas necesarias y/o no son concordantes con la anamnesis, exámenes clínicos y diagnósticos presuntivos y definitivos.</t>
  </si>
  <si>
    <t>REFERENCIAS</t>
  </si>
  <si>
    <t xml:space="preserve">Oportunas: Las referencias se realizan en el momento adecuado o conveniente, según las Guías de Práctica Clínica  y normativa vigente de Referencia y Contrarreferencia. Completas: cuando las referencias cumplen totalmente la normativa vigente de Referencia y Contrarreferencia. Incompletas: cuando las referencias cumplen parcialmente la normativa. En exceso: se realizan otras no necesarias. No existen: no se solicitan referencias.                  </t>
  </si>
  <si>
    <t xml:space="preserve">PROCEDIMIENTOS </t>
  </si>
  <si>
    <t xml:space="preserve">Completo: Concordantes con el/los diagnósticos presuntivos y/o definitivos a su vez concordantes con la anamnesis y el examen clínico   Incompleta: No se consigna la indicación de  todos los procedimientos diagnósticos y/o terapéuticos  necesarios / no se indican oportunamente  En exceso: Se indican además de los necesarios procedimientos que no corresponden, No existe: No se indican  los procedimientos diagnósticos y/o terapéuticos  necesarios / no son concordantes con la anamnesis, examen clínico y diagnósticos presuntivos y/o definitivos. </t>
  </si>
  <si>
    <t xml:space="preserve">FECHA DE PRÓXIMA CITA </t>
  </si>
  <si>
    <t xml:space="preserve">Completa: Se registra la  fecha de próxima cita para control y/o continuación de estudio diagnóstico de corresponder. No existe: No se registra el dato de corresponder.  </t>
  </si>
  <si>
    <t xml:space="preserve">TRATAMIENTO </t>
  </si>
  <si>
    <t xml:space="preserve">Completo: Concordante y coherente con el/los diagnósticos establecidos y se registran todos los ítems referentes a tratamiento señalados en el formato de auditoría. Incompleto: no se registran todos los ítems señalados en el formato de Auditoría .No existe : No se registran todos los ítems señalados o el tratamiento no es concordante con el/los diagnósticos establecidos.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</si>
  <si>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ATRIBUTOS DE LA HISTORÍA CLÍNICA </t>
  </si>
  <si>
    <t>FORMATOS DE ATENCIÓN INTEGRAL POR ETAPA DE VIDA (APLICABLE AL PRIMER NIVEL DE ATENCIÓN)</t>
  </si>
  <si>
    <t xml:space="preserve">Completo: la Historia Clínica contiene los Formatos de Atención Integral por  Etapa de Vida correspondiente  y se encuentran correctamente llenados.  Incompleto: La historia clínica contiene los Formatos de Atención integral por etapa de vida pero no se encuentran correctamente llenados. No existe: la Historia Clínica no contiene los formatos de atención integral por etapas de vida.   </t>
  </si>
  <si>
    <t xml:space="preserve">PULCRITUD </t>
  </si>
  <si>
    <t>Completo: La Historia clínica se encuentra limpia, ordenada, sin enmendaduras. No existe: No cumple con el estándar.</t>
  </si>
  <si>
    <t>LETRA LEGIBLE</t>
  </si>
  <si>
    <t xml:space="preserve">Completo: Letra legible y clara en la historia clínica No existe: No se cumple con el estándar.     </t>
  </si>
  <si>
    <t xml:space="preserve">NO USO DE ABREVIATURAS </t>
  </si>
  <si>
    <t>Completo: No uso de abreviaturas en la historia clínica. No existe: no se cumple con el estándar</t>
  </si>
  <si>
    <t>IDENTIFICACIÓN DEL MÉDICO TRATANTE (SELLO Y FIRMA)</t>
  </si>
  <si>
    <t>Completo: se consigna la firma y sello del médico que prestó la atención Incompleta: se consigna solamente la firma o el sello del médico que prestó la atención. No existe: no se consignan los datos.</t>
  </si>
  <si>
    <t>EVOLUCIÓN</t>
  </si>
  <si>
    <t>SEGUIMIENTO DE LA EVOLUCIÓN (Aplicable en auditoría por diagnóstico en el cual se haya realizado más de una consulta)</t>
  </si>
  <si>
    <t>Completo: Evolución de signos y síntomas. Toma adecuada de  medidas terapéuticas de acuerdo a la evolución o a intercurrencias del caso.  Solicitud de exámenes de  apoyo al diagnóstico de acuerdo a la evolución o a intercurrencias del caso. Referencia y/o interconsulta de acuerdo a la evolución  o a intercurrencias del caso. Incompleta: se toman las medidas terapéuticas, de solicitud de apoyo diagnóstico y/o referencia de acuerdo a la evolución del caso o a intercurrencias pero de manera parcial /no oportunas. No existe: no se toma ninguna medida terapéutica  de solicitud de apoyo diagnóstico y/o referencia necesaria de acuerdo a la evolución  o a intercurrencias del caso.</t>
  </si>
  <si>
    <t xml:space="preserve">CÁLCULO DE PUNTAJE </t>
  </si>
  <si>
    <t xml:space="preserve"> EL PUNTAJE MÁXIMO  ESPERADO ES IGUAL A  100.</t>
  </si>
  <si>
    <t>EN EL CASO  DE EXISTIR ITEMS CALIFICADOS COMO "NO APLICA"  SE SUMARÁN LOS PUNTAJES MÁXIMOS OTORGADOS A DICHOS ÍTEMS Y LA SUMA DE LOS MISMOS DARÁ COMO RESULTADO UNA CIFRA QUE SERÁ RESTADA DE LOS 100 PUNTOS, Y EL RESULTADO DE LA MISMA SERÁ EL NUEVO PUNTAJE MÁXIMO ESPERADO A PARTIR DEL CUAL SE CALCULARÁ EL PORCENTAJE DE CUMPLIMIENTO DE LOS ESTÁNDARES ESTABLECIDOS PARA  OBJETO DE LA  AUDITORÍA  Y  SE OTORGARÁ LA CALIFICACIÓN CORRESPONDIENTE.</t>
  </si>
  <si>
    <t xml:space="preserve">HECHO EVIDENCIADO QUE INCUMPLE PARCIAL O TOTALMENTE EL CRITERIO DE AUDITORÍA SELECCIONADO  </t>
  </si>
  <si>
    <t xml:space="preserve">OPINIÓN TÉCNICA DEL AUDITOR QUE RESUME LAS NO CONFORMIDADES EVIDENCIADAS </t>
  </si>
  <si>
    <t xml:space="preserve">SUGERENCIAS QUE SE FORMULAN EN EL INFORME DE AUDITORIA PARA QUE LA MÁXIMA AUTORIDAD DEL ESTABLECIMIENTO DE SALUD DISPONGA LAS ACCIONES PARA CORREGIR LAS NO CONFORMIDADES. </t>
  </si>
  <si>
    <t>DEBEN SEÑALAR QUE Y QUIEN LO DEBE REALIZAR, Y EL PLAZO PARA REALIZARLO.</t>
  </si>
  <si>
    <t>ANEXO N°5</t>
  </si>
  <si>
    <t>HC N°1</t>
  </si>
  <si>
    <t>ALBERTO CORNEJO / MARÍA ALVA</t>
  </si>
  <si>
    <t xml:space="preserve">CONSULTORIO DE MEDICINA </t>
  </si>
  <si>
    <t>EVALUAC. CALIDAD DE REGISTROS</t>
  </si>
  <si>
    <t>HC N°27493</t>
  </si>
  <si>
    <t>CMP N°11111</t>
  </si>
  <si>
    <t>DIABETES MELLITUS TIPO II</t>
  </si>
  <si>
    <t>5A11</t>
  </si>
  <si>
    <t>CALIFICACIÓN SEGÚN PUNTUACIÓN</t>
  </si>
  <si>
    <t>X</t>
  </si>
  <si>
    <t xml:space="preserve">No  existe registro de 05 items:  ocupación, religión, acmpañante, domicilio, fecha de próxima cita. El registro de 02 items es parcial: funciones biológicas, seguimiento de la evolución </t>
  </si>
  <si>
    <r>
      <rPr>
        <sz val="8"/>
        <color rgb="FFFF0000"/>
        <rFont val="Calibri"/>
        <charset val="134"/>
        <scheme val="minor"/>
      </rPr>
      <t xml:space="preserve">El registro de consulta externa evaluado del Servicio de Medicina alcanza 90.2% de cumplimiento, calificado como registro  </t>
    </r>
    <r>
      <rPr>
        <i/>
        <sz val="8"/>
        <color rgb="FFFF0000"/>
        <rFont val="Calibri"/>
        <charset val="134"/>
        <scheme val="minor"/>
      </rPr>
      <t>SATISFACTORIO</t>
    </r>
  </si>
  <si>
    <t>Al responsable del servicio de Consulta externa de Medicina, capacitar en la NTS para la Gestión de la Hstoria Clínica. Plazo 01 mes.</t>
  </si>
  <si>
    <t xml:space="preserve">Yasmin Meneses , Miriam Vargas , Erika Mendez, Cinthya Huauya Marjorie Abad, Daniel Ysidro </t>
  </si>
  <si>
    <t>30/09/2025</t>
  </si>
  <si>
    <t xml:space="preserve">CONSULTORIO DE MEDICINA FAMILIAR </t>
  </si>
  <si>
    <t xml:space="preserve">CONSULTORIO DE MEDICINA FAMILIAR  </t>
  </si>
  <si>
    <t>CONSULTORIO DE MEDICINA FAMILIAR</t>
  </si>
  <si>
    <t>20/09/2025</t>
  </si>
  <si>
    <t>23/09/2025</t>
  </si>
  <si>
    <t>HC N° 1625</t>
  </si>
  <si>
    <t>HC N° 5060</t>
  </si>
  <si>
    <t>HC N° 5814</t>
  </si>
  <si>
    <t>HC N° 3944</t>
  </si>
  <si>
    <t>CMP : 37456</t>
  </si>
  <si>
    <t>CMP : 37457</t>
  </si>
  <si>
    <t>CMP : 37458</t>
  </si>
  <si>
    <t>CMP : 37459</t>
  </si>
  <si>
    <t>TRASTORNO DE ANSIEDAD GENERALIZADA</t>
  </si>
  <si>
    <t>EPISODIO DEPRESIVO MODERADO</t>
  </si>
  <si>
    <t xml:space="preserve">TRASTORNO ESQUIZOAFECTIVO TIPO MANIACO </t>
  </si>
  <si>
    <t xml:space="preserve">TRASTORNO MIXTO DE ANSIEDAD Y DEPRESION  </t>
  </si>
  <si>
    <t>F41.1</t>
  </si>
  <si>
    <t>F32.1</t>
  </si>
  <si>
    <t>F25.0</t>
  </si>
  <si>
    <t>F41.2</t>
  </si>
  <si>
    <t>1,5</t>
  </si>
  <si>
    <t>7,5</t>
  </si>
  <si>
    <t>73,5</t>
  </si>
  <si>
    <t>75,5</t>
  </si>
  <si>
    <t>96,71%</t>
  </si>
  <si>
    <t>99,34%</t>
  </si>
  <si>
    <t xml:space="preserve">En las historias no se consignan los datos de acompañante en adultos, ni telefono </t>
  </si>
  <si>
    <t>1.-Al responsable del servicio de Consulta externa de Medicina, capacitar en la NTS para la Gestión de Hstorias Clínicas. Plazo 01 mes.                                  2. Al Comité de Historia Clínica, realizar la revisión y propuesta de actualización de formato de atención de consulta externa según lo establecido en NTS para la gestión de la HC. Plazo 3 meses.                        3. Al Comité de Auditoría en Salud, realizar evaluación de calidad de registros de HC por cada trimestre.                                                                        4. Al área de estadística, elaborar un listado de CIE-10 más frecuentes y colocar a disposición en escritorio de cada consultorio externo. Plazo 1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</si>
</sst>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7"/>
      <color rgb="FFFF0000"/>
      <name val="Calibri"/>
      <charset val="134"/>
      <scheme val="minor"/>
    </font>
    <font>
      <sz val="7"/>
      <color theme="1"/>
      <name val="Arial Narrow"/>
      <charset val="134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b/>
      <sz val="7"/>
      <color theme="1"/>
      <name val="Arial"/>
      <charset val="134"/>
    </font>
    <font>
      <sz val="7"/>
      <color theme="1"/>
      <name val="Arial"/>
      <charset val="134"/>
    </font>
    <font>
      <sz val="7"/>
      <color theme="1"/>
      <name val="Times New Roman"/>
      <charset val="134"/>
    </font>
    <font>
      <sz val="7"/>
      <color theme="1"/>
      <name val="Arial Black"/>
      <charset val="134"/>
    </font>
    <font>
      <sz val="10"/>
      <color rgb="FFFF0000"/>
      <name val="Calibri"/>
      <charset val="134"/>
      <scheme val="minor"/>
    </font>
    <font>
      <sz val="8"/>
      <color rgb="FFFF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7"/>
      <color rgb="FFFF0000"/>
      <name val="Calibri"/>
      <charset val="134"/>
      <scheme val="minor"/>
    </font>
    <font>
      <b/>
      <sz val="7"/>
      <color theme="1" tint="0.34998626667073579"/>
      <name val="Arial"/>
      <charset val="134"/>
    </font>
    <font>
      <sz val="11"/>
      <color rgb="FFFF0000"/>
      <name val="Arial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name val="Calibri"/>
      <charset val="134"/>
      <scheme val="minor"/>
    </font>
    <font>
      <i/>
      <sz val="8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5" fontId="1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horizontal="right" vertical="center"/>
    </xf>
    <xf numFmtId="0" fontId="11" fillId="4" borderId="3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right" wrapText="1"/>
    </xf>
    <xf numFmtId="0" fontId="15" fillId="0" borderId="8" xfId="0" applyFont="1" applyBorder="1" applyAlignment="1">
      <alignment vertical="center" wrapText="1"/>
    </xf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7" fillId="4" borderId="3" xfId="0" applyFont="1" applyFill="1" applyBorder="1" applyAlignment="1">
      <alignment horizontal="center" vertical="center"/>
    </xf>
    <xf numFmtId="0" fontId="18" fillId="0" borderId="0" xfId="0" applyFont="1"/>
    <xf numFmtId="9" fontId="18" fillId="0" borderId="0" xfId="0" applyNumberFormat="1" applyFont="1"/>
    <xf numFmtId="0" fontId="11" fillId="0" borderId="3" xfId="0" applyFont="1" applyBorder="1" applyAlignment="1">
      <alignment horizontal="right" wrapText="1"/>
    </xf>
    <xf numFmtId="0" fontId="7" fillId="0" borderId="0" xfId="0" applyFont="1"/>
    <xf numFmtId="0" fontId="7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9" fillId="4" borderId="3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justify" vertical="center"/>
    </xf>
    <xf numFmtId="0" fontId="7" fillId="0" borderId="6" xfId="0" applyFont="1" applyBorder="1" applyAlignment="1">
      <alignment horizontal="justify" vertical="center"/>
    </xf>
    <xf numFmtId="0" fontId="7" fillId="0" borderId="9" xfId="0" applyFont="1" applyBorder="1" applyAlignment="1">
      <alignment horizontal="justify" vertical="center"/>
    </xf>
    <xf numFmtId="0" fontId="6" fillId="2" borderId="5" xfId="0" applyFont="1" applyFill="1" applyBorder="1" applyAlignment="1">
      <alignment horizontal="justify" vertical="center" wrapText="1"/>
    </xf>
    <xf numFmtId="0" fontId="6" fillId="2" borderId="6" xfId="0" applyFont="1" applyFill="1" applyBorder="1" applyAlignment="1">
      <alignment horizontal="justify" vertical="center" wrapText="1"/>
    </xf>
    <xf numFmtId="0" fontId="6" fillId="2" borderId="9" xfId="0" applyFont="1" applyFill="1" applyBorder="1" applyAlignment="1">
      <alignment horizontal="justify" vertical="center" wrapText="1"/>
    </xf>
    <xf numFmtId="0" fontId="14" fillId="3" borderId="1" xfId="0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justify" vertical="center"/>
    </xf>
    <xf numFmtId="0" fontId="7" fillId="0" borderId="3" xfId="0" applyFont="1" applyBorder="1" applyAlignment="1">
      <alignment horizontal="justify" vertical="center"/>
    </xf>
    <xf numFmtId="0" fontId="9" fillId="3" borderId="3" xfId="0" applyFont="1" applyFill="1" applyBorder="1" applyAlignment="1">
      <alignment horizontal="justify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justify" vertical="center"/>
    </xf>
    <xf numFmtId="0" fontId="9" fillId="5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justify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justify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'ejemplo -variasHC'!$B$88</c:f>
              <c:strCache>
                <c:ptCount val="1"/>
                <c:pt idx="0">
                  <c:v>III.- NO CONFORMIDADES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-variasHC'!$C$88:$O$88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068-4A0C-9F18-AA3941AAA8FD}"/>
            </c:ext>
          </c:extLst>
        </c:ser>
        <c:ser>
          <c:idx val="1"/>
          <c:order val="1"/>
          <c:tx>
            <c:strRef>
              <c:f>'ejemplo -variasHC'!$B$89</c:f>
              <c:strCache>
                <c:ptCount val="1"/>
                <c:pt idx="0">
                  <c:v>En las historias no se consignan los datos de acompañante en adultos, ni telefono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-variasHC'!$C$89:$O$89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068-4A0C-9F18-AA3941AAA8FD}"/>
            </c:ext>
          </c:extLst>
        </c:ser>
        <c:ser>
          <c:idx val="2"/>
          <c:order val="2"/>
          <c:tx>
            <c:strRef>
              <c:f>'ejemplo -variasHC'!$B$90</c:f>
              <c:strCache>
                <c:ptCount val="1"/>
                <c:pt idx="0">
                  <c:v>IV.- CONCLUSIONES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-variasHC'!$C$90:$O$90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068-4A0C-9F18-AA3941AAA8FD}"/>
            </c:ext>
          </c:extLst>
        </c:ser>
        <c:ser>
          <c:idx val="3"/>
          <c:order val="3"/>
          <c:tx>
            <c:strRef>
              <c:f>'ejemplo -variasHC'!$B$91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-variasHC'!$C$91:$O$91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A068-4A0C-9F18-AA3941AAA8FD}"/>
            </c:ext>
          </c:extLst>
        </c:ser>
        <c:ser>
          <c:idx val="4"/>
          <c:order val="4"/>
          <c:tx>
            <c:strRef>
              <c:f>'ejemplo -variasHC'!$B$92</c:f>
              <c:strCache>
                <c:ptCount val="1"/>
                <c:pt idx="0">
                  <c:v>V.- RECOMENDACIONES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-variasHC'!$C$92:$O$92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A068-4A0C-9F18-AA3941AAA8FD}"/>
            </c:ext>
          </c:extLst>
        </c:ser>
        <c:ser>
          <c:idx val="5"/>
          <c:order val="5"/>
          <c:tx>
            <c:strRef>
              <c:f>'ejemplo -variasHC'!$B$93</c:f>
              <c:strCache>
                <c:ptCount val="1"/>
                <c:pt idx="0">
                  <c:v>1.-Al responsable del servicio de Consulta externa de Medicina, capacitar en la NTS para la Gestión de Hstorias Clínicas. Plazo 01 mes.                                  2. Al Comité de Historia Clínica, realizar la revisión y propuesta de actualización 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'ejemplo -variasHC'!$C$3:$O$87</c:f>
              <c:multiLvlStrCache>
                <c:ptCount val="12"/>
                <c:lvl>
                  <c:pt idx="0">
                    <c:v>MENOS 75%</c:v>
                  </c:pt>
                </c:lvl>
                <c:lvl>
                  <c:pt idx="0">
                    <c:v>ENTRE 75  A 89 % </c:v>
                  </c:pt>
                </c:lvl>
                <c:lvl>
                  <c:pt idx="0">
                    <c:v>IGUAL O MAYOR 90%</c:v>
                  </c:pt>
                </c:lvl>
                <c:lvl>
                  <c:pt idx="8">
                    <c:v>96,71%</c:v>
                  </c:pt>
                  <c:pt idx="9">
                    <c:v>99,34%</c:v>
                  </c:pt>
                  <c:pt idx="10">
                    <c:v>99,34%</c:v>
                  </c:pt>
                  <c:pt idx="11">
                    <c:v>96,71%</c:v>
                  </c:pt>
                </c:lvl>
                <c:lvl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</c:lvl>
                <c:lvl>
                  <c:pt idx="8">
                    <c:v>73,5</c:v>
                  </c:pt>
                  <c:pt idx="9">
                    <c:v>75,5</c:v>
                  </c:pt>
                  <c:pt idx="10">
                    <c:v>75,5</c:v>
                  </c:pt>
                  <c:pt idx="11">
                    <c:v>73,5</c:v>
                  </c:pt>
                </c:lvl>
                <c:lvl>
                  <c:pt idx="1">
                    <c:v>100</c:v>
                  </c:pt>
                </c:lvl>
                <c:lvl>
                  <c:pt idx="1">
                    <c:v>10</c:v>
                  </c:pt>
                  <c:pt idx="3">
                    <c:v>5</c:v>
                  </c:pt>
                  <c:pt idx="6">
                    <c:v>0</c:v>
                  </c:pt>
                  <c:pt idx="7">
                    <c:v>NA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7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 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17</c:v>
                  </c:pt>
                  <c:pt idx="8">
                    <c:v>17</c:v>
                  </c:pt>
                  <c:pt idx="9">
                    <c:v>17</c:v>
                  </c:pt>
                  <c:pt idx="10">
                    <c:v>17</c:v>
                  </c:pt>
                  <c:pt idx="11">
                    <c:v>17</c:v>
                  </c:pt>
                </c:lvl>
                <c:lvl>
                  <c:pt idx="1">
                    <c:v>1</c:v>
                  </c:pt>
                  <c:pt idx="3">
                    <c:v>0.5 </c:v>
                  </c:pt>
                  <c:pt idx="6">
                    <c:v>0</c:v>
                  </c:pt>
                  <c:pt idx="7">
                    <c:v>NA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           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3">
                    <c:v>2 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24</c:v>
                  </c:pt>
                  <c:pt idx="8">
                    <c:v>10</c:v>
                  </c:pt>
                  <c:pt idx="9">
                    <c:v>10</c:v>
                  </c:pt>
                  <c:pt idx="10">
                    <c:v>10</c:v>
                  </c:pt>
                  <c:pt idx="11">
                    <c:v>10</c:v>
                  </c:pt>
                </c:lvl>
                <c:lvl>
                  <c:pt idx="1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0 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4</c:v>
                  </c:pt>
                  <c:pt idx="7">
                    <c:v>NA 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4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5</c:v>
                  </c:pt>
                  <c:pt idx="3">
                    <c:v>1</c:v>
                  </c:pt>
                  <c:pt idx="5">
                    <c:v>2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20</c:v>
                  </c:pt>
                  <c:pt idx="8">
                    <c:v>12</c:v>
                  </c:pt>
                  <c:pt idx="9">
                    <c:v>12</c:v>
                  </c:pt>
                  <c:pt idx="10">
                    <c:v>12</c:v>
                  </c:pt>
                  <c:pt idx="11">
                    <c:v>12</c:v>
                  </c:pt>
                </c:lvl>
                <c:lvl>
                  <c:pt idx="1">
                    <c:v>4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8</c:v>
                  </c:pt>
                  <c:pt idx="9">
                    <c:v>8</c:v>
                  </c:pt>
                  <c:pt idx="10">
                    <c:v>8</c:v>
                  </c:pt>
                  <c:pt idx="11">
                    <c:v>8</c:v>
                  </c:pt>
                </c:lvl>
                <c:lvl>
                  <c:pt idx="1">
                    <c:v>8</c:v>
                  </c:pt>
                  <c:pt idx="3">
                    <c:v>4</c:v>
                  </c:pt>
                  <c:pt idx="6">
                    <c:v>0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  <c:pt idx="10">
                    <c:v>NA</c:v>
                  </c:pt>
                  <c:pt idx="11">
                    <c:v>NA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9</c:v>
                  </c:pt>
                  <c:pt idx="9">
                    <c:v>9</c:v>
                  </c:pt>
                  <c:pt idx="10">
                    <c:v>9</c:v>
                  </c:pt>
                  <c:pt idx="11">
                    <c:v>9</c:v>
                  </c:pt>
                </c:lvl>
                <c:lvl>
                  <c:pt idx="1">
                    <c:v>4</c:v>
                  </c:pt>
                  <c:pt idx="3">
                    <c:v>2</c:v>
                  </c:pt>
                  <c:pt idx="6">
                    <c:v>0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2</c:v>
                  </c:pt>
                  <c:pt idx="3">
                    <c:v>0.5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9</c:v>
                  </c:pt>
                  <c:pt idx="8">
                    <c:v>7,5</c:v>
                  </c:pt>
                  <c:pt idx="9">
                    <c:v>9</c:v>
                  </c:pt>
                  <c:pt idx="10">
                    <c:v>9</c:v>
                  </c:pt>
                  <c:pt idx="11">
                    <c:v>7</c:v>
                  </c:pt>
                </c:lvl>
                <c:lvl>
                  <c:pt idx="1">
                    <c:v>2</c:v>
                  </c:pt>
                  <c:pt idx="3">
                    <c:v>1</c:v>
                  </c:pt>
                  <c:pt idx="6">
                    <c:v>0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0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3</c:v>
                  </c:pt>
                  <c:pt idx="3">
                    <c:v>1.5</c:v>
                  </c:pt>
                  <c:pt idx="6">
                    <c:v>0</c:v>
                  </c:pt>
                  <c:pt idx="8">
                    <c:v>1,5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1</c:v>
                  </c:pt>
                  <c:pt idx="3">
                    <c:v>0.5</c:v>
                  </c:pt>
                  <c:pt idx="6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1">
                    <c:v>4</c:v>
                  </c:pt>
                  <c:pt idx="8">
                    <c:v>3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7">
                    <c:v>NA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0.25</c:v>
                  </c:pt>
                  <c:pt idx="6">
                    <c:v>0</c:v>
                  </c:pt>
                  <c:pt idx="8">
                    <c:v>0.25</c:v>
                  </c:pt>
                  <c:pt idx="9">
                    <c:v>0.25</c:v>
                  </c:pt>
                  <c:pt idx="10">
                    <c:v>0.25</c:v>
                  </c:pt>
                  <c:pt idx="11">
                    <c:v>0.25</c:v>
                  </c:pt>
                </c:lvl>
                <c:lvl>
                  <c:pt idx="1">
                    <c:v>COMPLETO</c:v>
                  </c:pt>
                  <c:pt idx="3">
                    <c:v>INCOMPLETO</c:v>
                  </c:pt>
                  <c:pt idx="5">
                    <c:v>EN EXCESO </c:v>
                  </c:pt>
                  <c:pt idx="6">
                    <c:v>NO EXISTE</c:v>
                  </c:pt>
                  <c:pt idx="7">
                    <c:v>NO APLICA</c:v>
                  </c:pt>
                </c:lvl>
                <c:lvl>
                  <c:pt idx="8">
                    <c:v>F41.1</c:v>
                  </c:pt>
                  <c:pt idx="9">
                    <c:v>F32.1</c:v>
                  </c:pt>
                  <c:pt idx="10">
                    <c:v>F25.0</c:v>
                  </c:pt>
                  <c:pt idx="11">
                    <c:v>F41.2</c:v>
                  </c:pt>
                </c:lvl>
                <c:lvl>
                  <c:pt idx="8">
                    <c:v>TRASTORNO DE ANSIEDAD GENERALIZADA</c:v>
                  </c:pt>
                  <c:pt idx="9">
                    <c:v>EPISODIO DEPRESIVO MODERADO</c:v>
                  </c:pt>
                  <c:pt idx="10">
                    <c:v>TRASTORNO ESQUIZOAFECTIVO TIPO MANIACO </c:v>
                  </c:pt>
                  <c:pt idx="11">
                    <c:v>TRASTORNO MIXTO DE ANSIEDAD Y DEPRESION  </c:v>
                  </c:pt>
                </c:lvl>
                <c:lvl>
                  <c:pt idx="8">
                    <c:v>CMP : 37456</c:v>
                  </c:pt>
                  <c:pt idx="9">
                    <c:v>CMP : 37457</c:v>
                  </c:pt>
                  <c:pt idx="10">
                    <c:v>CMP : 37458</c:v>
                  </c:pt>
                  <c:pt idx="11">
                    <c:v>CMP : 37459</c:v>
                  </c:pt>
                </c:lvl>
                <c:lvl>
                  <c:pt idx="8">
                    <c:v>HC N° 1625</c:v>
                  </c:pt>
                  <c:pt idx="9">
                    <c:v>HC N° 5060</c:v>
                  </c:pt>
                  <c:pt idx="10">
                    <c:v>HC N° 5814</c:v>
                  </c:pt>
                  <c:pt idx="11">
                    <c:v>HC N° 3944</c:v>
                  </c:pt>
                </c:lvl>
                <c:lvl>
                  <c:pt idx="8">
                    <c:v>25-Set-25</c:v>
                  </c:pt>
                  <c:pt idx="9">
                    <c:v>20/09/2025</c:v>
                  </c:pt>
                  <c:pt idx="10">
                    <c:v>30/09/2025</c:v>
                  </c:pt>
                  <c:pt idx="11">
                    <c:v>23/09/2025</c:v>
                  </c:pt>
                </c:lvl>
                <c:lvl>
                  <c:pt idx="8">
                    <c:v>EVALUAC. CALIDAD DE REGISTROS</c:v>
                  </c:pt>
                  <c:pt idx="9">
                    <c:v>EVALUAC. CALIDAD DE REGISTROS</c:v>
                  </c:pt>
                  <c:pt idx="10">
                    <c:v>EVALUAC. CALIDAD DE REGISTROS</c:v>
                  </c:pt>
                  <c:pt idx="11">
                    <c:v>EVALUAC. CALIDAD DE REGISTROS</c:v>
                  </c:pt>
                </c:lvl>
                <c:lvl>
                  <c:pt idx="8">
                    <c:v>CONSULTORIO DE MEDICINA FAMILIAR </c:v>
                  </c:pt>
                  <c:pt idx="9">
                    <c:v>CONSULTORIO DE MEDICINA FAMILIAR </c:v>
                  </c:pt>
                  <c:pt idx="10">
                    <c:v>CONSULTORIO DE MEDICINA FAMILIAR  </c:v>
                  </c:pt>
                  <c:pt idx="11">
                    <c:v>CONSULTORIO DE MEDICINA FAMILIAR</c:v>
                  </c:pt>
                </c:lvl>
                <c:lvl>
                  <c:pt idx="8">
                    <c:v>30/09/2025</c:v>
                  </c:pt>
                  <c:pt idx="9">
                    <c:v>30/09/2025</c:v>
                  </c:pt>
                  <c:pt idx="10">
                    <c:v>30/09/2025</c:v>
                  </c:pt>
                  <c:pt idx="11">
                    <c:v>30/09/2025</c:v>
                  </c:pt>
                </c:lvl>
                <c:lvl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</c:lvl>
                <c:lvl>
                  <c:pt idx="8">
                    <c:v>Yasmin Meneses , Miriam Vargas , Erika Mendez, Cinthya Huauya Marjorie Abad, Daniel Ysidro </c:v>
                  </c:pt>
                  <c:pt idx="9">
                    <c:v>Yasmin Meneses , Miriam Vargas , Erika Mendez, Cinthya Huauya Marjorie Abad, Daniel Ysidro </c:v>
                  </c:pt>
                  <c:pt idx="10">
                    <c:v>Yasmin Meneses , Miriam Vargas , Erika Mendez, Cinthya Huauya Marjorie Abad, Daniel Ysidro </c:v>
                  </c:pt>
                  <c:pt idx="11">
                    <c:v>Yasmin Meneses , Miriam Vargas , Erika Mendez, Cinthya Huauya Marjorie Abad, Daniel Ysidro </c:v>
                  </c:pt>
                </c:lvl>
                <c:lvl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</c:multiLvlStrCache>
            </c:multiLvlStrRef>
          </c:cat>
          <c:val>
            <c:numRef>
              <c:f>'ejemplo -variasHC'!$C$93:$O$93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A068-4A0C-9F18-AA3941AAA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826591"/>
        <c:axId val="1344839071"/>
      </c:barChart>
      <c:catAx>
        <c:axId val="134482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44839071"/>
        <c:crosses val="autoZero"/>
        <c:auto val="1"/>
        <c:lblAlgn val="ctr"/>
        <c:lblOffset val="100"/>
        <c:noMultiLvlLbl val="0"/>
      </c:catAx>
      <c:valAx>
        <c:axId val="134483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4482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c498b5-842e-4c03-a0a7-ba8c9c8a4d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130630</xdr:colOff>
      <xdr:row>79</xdr:row>
      <xdr:rowOff>5442</xdr:rowOff>
    </xdr:from>
    <xdr:to>
      <xdr:col>15</xdr:col>
      <xdr:colOff>504998</xdr:colOff>
      <xdr:row>87</xdr:row>
      <xdr:rowOff>6843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585" y="13972540"/>
          <a:ext cx="1353820" cy="1121410"/>
        </a:xfrm>
        <a:prstGeom prst="rect">
          <a:avLst/>
        </a:prstGeom>
        <a:ln w="31750" cmpd="dbl">
          <a:solidFill>
            <a:srgbClr val="0070C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435621</xdr:colOff>
      <xdr:row>34</xdr:row>
      <xdr:rowOff>70266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4"/>
  <sheetViews>
    <sheetView zoomScale="160" zoomScaleNormal="160" workbookViewId="0">
      <pane xSplit="11" topLeftCell="L1" activePane="topRight" state="frozen"/>
      <selection pane="topRight" activeCell="L13" sqref="L13"/>
    </sheetView>
  </sheetViews>
  <sheetFormatPr baseColWidth="10" defaultColWidth="11.42578125" defaultRowHeight="9"/>
  <cols>
    <col min="1" max="1" width="1.85546875" style="1" customWidth="1"/>
    <col min="2" max="2" width="14.42578125" style="1" customWidth="1"/>
    <col min="3" max="3" width="11.42578125" style="1"/>
    <col min="4" max="4" width="6.85546875" style="2" customWidth="1"/>
    <col min="5" max="5" width="2.5703125" style="2" customWidth="1"/>
    <col min="6" max="6" width="7.85546875" style="2" customWidth="1"/>
    <col min="7" max="7" width="2.42578125" style="2" customWidth="1"/>
    <col min="8" max="8" width="6.5703125" style="2" customWidth="1"/>
    <col min="9" max="9" width="7.7109375" style="2" customWidth="1"/>
    <col min="10" max="10" width="0.85546875" style="2" hidden="1" customWidth="1"/>
    <col min="11" max="11" width="7.85546875" style="2" customWidth="1"/>
    <col min="12" max="13" width="27.85546875" style="3" customWidth="1"/>
    <col min="14" max="16384" width="11.42578125" style="1"/>
  </cols>
  <sheetData>
    <row r="1" spans="2:13" ht="8.25" customHeight="1"/>
    <row r="2" spans="2:13" ht="11.25">
      <c r="B2" s="4"/>
    </row>
    <row r="3" spans="2:13" ht="12">
      <c r="B3" s="74" t="s">
        <v>0</v>
      </c>
      <c r="C3" s="75"/>
      <c r="D3" s="75"/>
      <c r="E3" s="75"/>
      <c r="F3" s="75"/>
      <c r="G3" s="75"/>
      <c r="H3" s="75"/>
      <c r="I3" s="75"/>
      <c r="J3" s="75"/>
      <c r="K3" s="76"/>
      <c r="L3" s="12"/>
      <c r="M3" s="12"/>
    </row>
    <row r="4" spans="2:13" ht="23.25" customHeight="1">
      <c r="B4" s="77" t="s">
        <v>1</v>
      </c>
      <c r="C4" s="78"/>
      <c r="D4" s="78"/>
      <c r="E4" s="78"/>
      <c r="F4" s="78"/>
      <c r="G4" s="78"/>
      <c r="H4" s="78"/>
      <c r="I4" s="78"/>
      <c r="J4" s="78"/>
      <c r="K4" s="79"/>
      <c r="L4" s="38" t="s">
        <v>2</v>
      </c>
      <c r="M4" s="38" t="s">
        <v>2</v>
      </c>
    </row>
    <row r="5" spans="2:13" ht="9.75">
      <c r="B5" s="71" t="s">
        <v>3</v>
      </c>
      <c r="C5" s="71"/>
      <c r="D5" s="71"/>
      <c r="E5" s="71"/>
      <c r="F5" s="71"/>
      <c r="G5" s="71"/>
      <c r="H5" s="71"/>
      <c r="I5" s="71"/>
      <c r="J5" s="71"/>
      <c r="K5" s="71"/>
      <c r="L5" s="12"/>
      <c r="M5" s="12"/>
    </row>
    <row r="6" spans="2:13" ht="11.25">
      <c r="B6" s="66" t="s">
        <v>4</v>
      </c>
      <c r="C6" s="66"/>
      <c r="D6" s="66"/>
      <c r="E6" s="65"/>
      <c r="F6" s="65"/>
      <c r="G6" s="65"/>
      <c r="H6" s="65"/>
      <c r="I6" s="65"/>
      <c r="J6" s="65"/>
      <c r="K6" s="65"/>
      <c r="L6" s="14"/>
      <c r="M6" s="14"/>
    </row>
    <row r="7" spans="2:13" ht="11.25">
      <c r="B7" s="66" t="s">
        <v>5</v>
      </c>
      <c r="C7" s="66"/>
      <c r="D7" s="66"/>
      <c r="E7" s="65"/>
      <c r="F7" s="65"/>
      <c r="G7" s="65"/>
      <c r="H7" s="65"/>
      <c r="I7" s="65"/>
      <c r="J7" s="65"/>
      <c r="K7" s="65"/>
      <c r="L7" s="15"/>
      <c r="M7" s="15"/>
    </row>
    <row r="8" spans="2:13" ht="11.25">
      <c r="B8" s="66" t="s">
        <v>6</v>
      </c>
      <c r="C8" s="66"/>
      <c r="D8" s="66"/>
      <c r="E8" s="65"/>
      <c r="F8" s="65"/>
      <c r="G8" s="65"/>
      <c r="H8" s="65"/>
      <c r="I8" s="65"/>
      <c r="J8" s="65"/>
      <c r="K8" s="65"/>
      <c r="L8" s="16"/>
      <c r="M8" s="16"/>
    </row>
    <row r="9" spans="2:13" ht="11.25">
      <c r="B9" s="66" t="s">
        <v>7</v>
      </c>
      <c r="C9" s="66"/>
      <c r="D9" s="66"/>
      <c r="E9" s="65"/>
      <c r="F9" s="65"/>
      <c r="G9" s="65"/>
      <c r="H9" s="65"/>
      <c r="I9" s="65"/>
      <c r="J9" s="65"/>
      <c r="K9" s="65"/>
      <c r="L9" s="14"/>
      <c r="M9" s="14"/>
    </row>
    <row r="10" spans="2:13" ht="11.25">
      <c r="B10" s="66" t="s">
        <v>8</v>
      </c>
      <c r="C10" s="66"/>
      <c r="D10" s="66"/>
      <c r="E10" s="65"/>
      <c r="F10" s="65"/>
      <c r="G10" s="65"/>
      <c r="H10" s="65"/>
      <c r="I10" s="65"/>
      <c r="J10" s="65"/>
      <c r="K10" s="65"/>
      <c r="L10" s="14"/>
      <c r="M10" s="14"/>
    </row>
    <row r="11" spans="2:13" ht="11.25">
      <c r="B11" s="66" t="s">
        <v>9</v>
      </c>
      <c r="C11" s="66"/>
      <c r="D11" s="66"/>
      <c r="E11" s="65"/>
      <c r="F11" s="65"/>
      <c r="G11" s="65"/>
      <c r="H11" s="65"/>
      <c r="I11" s="65"/>
      <c r="J11" s="65"/>
      <c r="K11" s="65"/>
      <c r="L11" s="16"/>
      <c r="M11" s="16"/>
    </row>
    <row r="12" spans="2:13" ht="25.5" customHeight="1">
      <c r="B12" s="66" t="s">
        <v>10</v>
      </c>
      <c r="C12" s="66"/>
      <c r="D12" s="66"/>
      <c r="E12" s="65"/>
      <c r="F12" s="65"/>
      <c r="G12" s="65"/>
      <c r="H12" s="65"/>
      <c r="I12" s="65"/>
      <c r="J12" s="65"/>
      <c r="K12" s="65"/>
      <c r="L12" s="15"/>
      <c r="M12" s="15"/>
    </row>
    <row r="13" spans="2:13" ht="25.5" customHeight="1">
      <c r="B13" s="66" t="s">
        <v>11</v>
      </c>
      <c r="C13" s="66"/>
      <c r="D13" s="66"/>
      <c r="E13" s="65"/>
      <c r="F13" s="65"/>
      <c r="G13" s="65"/>
      <c r="H13" s="65"/>
      <c r="I13" s="65"/>
      <c r="J13" s="65"/>
      <c r="K13" s="65"/>
      <c r="L13" s="15"/>
      <c r="M13" s="15"/>
    </row>
    <row r="14" spans="2:13" ht="11.25">
      <c r="B14" s="66" t="s">
        <v>12</v>
      </c>
      <c r="C14" s="66"/>
      <c r="D14" s="66"/>
      <c r="E14" s="65"/>
      <c r="F14" s="65"/>
      <c r="G14" s="65"/>
      <c r="H14" s="65"/>
      <c r="I14" s="65"/>
      <c r="J14" s="65"/>
      <c r="K14" s="65"/>
      <c r="L14" s="14"/>
      <c r="M14" s="14"/>
    </row>
    <row r="15" spans="2:13" ht="11.25">
      <c r="B15" s="66" t="s">
        <v>13</v>
      </c>
      <c r="C15" s="66"/>
      <c r="D15" s="66"/>
      <c r="E15" s="65"/>
      <c r="F15" s="65"/>
      <c r="G15" s="65"/>
      <c r="H15" s="65"/>
      <c r="I15" s="65"/>
      <c r="J15" s="65"/>
      <c r="K15" s="65"/>
      <c r="L15" s="15"/>
      <c r="M15" s="15"/>
    </row>
    <row r="16" spans="2:13" ht="9.75">
      <c r="B16" s="71" t="s">
        <v>14</v>
      </c>
      <c r="C16" s="71"/>
      <c r="D16" s="71"/>
      <c r="E16" s="71"/>
      <c r="F16" s="71"/>
      <c r="G16" s="71"/>
      <c r="H16" s="71"/>
      <c r="I16" s="71"/>
      <c r="J16" s="71"/>
      <c r="K16" s="71"/>
      <c r="L16" s="12"/>
      <c r="M16" s="12"/>
    </row>
    <row r="17" spans="2:13" ht="28.5" customHeight="1">
      <c r="B17" s="71" t="s">
        <v>15</v>
      </c>
      <c r="C17" s="71"/>
      <c r="D17" s="70" t="s">
        <v>16</v>
      </c>
      <c r="E17" s="70"/>
      <c r="F17" s="70" t="s">
        <v>17</v>
      </c>
      <c r="G17" s="70"/>
      <c r="H17" s="6" t="s">
        <v>18</v>
      </c>
      <c r="I17" s="6" t="s">
        <v>19</v>
      </c>
      <c r="J17" s="6"/>
      <c r="K17" s="6" t="s">
        <v>20</v>
      </c>
      <c r="L17" s="12"/>
      <c r="M17" s="12"/>
    </row>
    <row r="18" spans="2:13" ht="10.5">
      <c r="B18" s="66" t="s">
        <v>21</v>
      </c>
      <c r="C18" s="66"/>
      <c r="D18" s="65">
        <v>0.25</v>
      </c>
      <c r="E18" s="65"/>
      <c r="F18" s="67"/>
      <c r="G18" s="67"/>
      <c r="H18" s="8"/>
      <c r="I18" s="65">
        <v>0</v>
      </c>
      <c r="J18" s="65"/>
      <c r="K18" s="7"/>
      <c r="L18" s="17"/>
      <c r="M18" s="17"/>
    </row>
    <row r="19" spans="2:13" ht="12" customHeight="1">
      <c r="B19" s="66" t="s">
        <v>22</v>
      </c>
      <c r="C19" s="66"/>
      <c r="D19" s="65">
        <v>0.25</v>
      </c>
      <c r="E19" s="65"/>
      <c r="F19" s="73"/>
      <c r="G19" s="73"/>
      <c r="H19" s="8"/>
      <c r="I19" s="65">
        <v>0</v>
      </c>
      <c r="J19" s="65"/>
      <c r="K19" s="7"/>
      <c r="L19" s="17"/>
      <c r="M19" s="17"/>
    </row>
    <row r="20" spans="2:13" ht="10.5">
      <c r="B20" s="66" t="s">
        <v>23</v>
      </c>
      <c r="C20" s="66"/>
      <c r="D20" s="65">
        <v>0.25</v>
      </c>
      <c r="E20" s="65"/>
      <c r="F20" s="73"/>
      <c r="G20" s="73"/>
      <c r="H20" s="8"/>
      <c r="I20" s="65">
        <v>0</v>
      </c>
      <c r="J20" s="65"/>
      <c r="K20" s="7" t="s">
        <v>24</v>
      </c>
      <c r="L20" s="17"/>
      <c r="M20" s="17"/>
    </row>
    <row r="21" spans="2:13" ht="15" customHeight="1">
      <c r="B21" s="66" t="s">
        <v>25</v>
      </c>
      <c r="C21" s="66"/>
      <c r="D21" s="65">
        <v>0.25</v>
      </c>
      <c r="E21" s="65"/>
      <c r="F21" s="73"/>
      <c r="G21" s="73"/>
      <c r="H21" s="8"/>
      <c r="I21" s="65">
        <v>0</v>
      </c>
      <c r="J21" s="65"/>
      <c r="K21" s="7"/>
      <c r="L21" s="17"/>
      <c r="M21" s="17"/>
    </row>
    <row r="22" spans="2:13" ht="10.5">
      <c r="B22" s="66" t="s">
        <v>26</v>
      </c>
      <c r="C22" s="66"/>
      <c r="D22" s="65">
        <v>0.25</v>
      </c>
      <c r="E22" s="65"/>
      <c r="F22" s="73"/>
      <c r="G22" s="73"/>
      <c r="H22" s="8"/>
      <c r="I22" s="65">
        <v>0</v>
      </c>
      <c r="J22" s="65"/>
      <c r="K22" s="7"/>
      <c r="L22" s="17"/>
      <c r="M22" s="17"/>
    </row>
    <row r="23" spans="2:13" ht="10.5">
      <c r="B23" s="66" t="s">
        <v>27</v>
      </c>
      <c r="C23" s="66"/>
      <c r="D23" s="65">
        <v>0.25</v>
      </c>
      <c r="E23" s="65"/>
      <c r="F23" s="73"/>
      <c r="G23" s="73"/>
      <c r="H23" s="8"/>
      <c r="I23" s="65">
        <v>0</v>
      </c>
      <c r="J23" s="65"/>
      <c r="K23" s="7"/>
      <c r="L23" s="17"/>
      <c r="M23" s="17"/>
    </row>
    <row r="24" spans="2:13" ht="10.5">
      <c r="B24" s="66" t="s">
        <v>28</v>
      </c>
      <c r="C24" s="66"/>
      <c r="D24" s="65">
        <v>0.25</v>
      </c>
      <c r="E24" s="65"/>
      <c r="F24" s="73"/>
      <c r="G24" s="73"/>
      <c r="H24" s="8"/>
      <c r="I24" s="65">
        <v>0</v>
      </c>
      <c r="J24" s="65"/>
      <c r="K24" s="7"/>
      <c r="L24" s="17"/>
      <c r="M24" s="17"/>
    </row>
    <row r="25" spans="2:13" ht="12" customHeight="1">
      <c r="B25" s="66" t="s">
        <v>29</v>
      </c>
      <c r="C25" s="66"/>
      <c r="D25" s="65">
        <v>0.25</v>
      </c>
      <c r="E25" s="65"/>
      <c r="F25" s="73"/>
      <c r="G25" s="73"/>
      <c r="H25" s="8"/>
      <c r="I25" s="65">
        <v>0</v>
      </c>
      <c r="J25" s="65"/>
      <c r="K25" s="7"/>
      <c r="L25" s="17"/>
      <c r="M25" s="17"/>
    </row>
    <row r="26" spans="2:13" ht="12.75" customHeight="1">
      <c r="B26" s="66" t="s">
        <v>30</v>
      </c>
      <c r="C26" s="66"/>
      <c r="D26" s="65">
        <v>0.25</v>
      </c>
      <c r="E26" s="65"/>
      <c r="F26" s="73"/>
      <c r="G26" s="73"/>
      <c r="H26" s="8"/>
      <c r="I26" s="65">
        <v>0</v>
      </c>
      <c r="J26" s="65"/>
      <c r="K26" s="7"/>
      <c r="L26" s="17"/>
      <c r="M26" s="17"/>
    </row>
    <row r="27" spans="2:13" ht="10.5">
      <c r="B27" s="66" t="s">
        <v>31</v>
      </c>
      <c r="C27" s="66"/>
      <c r="D27" s="65">
        <v>0.25</v>
      </c>
      <c r="E27" s="65"/>
      <c r="F27" s="73"/>
      <c r="G27" s="73"/>
      <c r="H27" s="8"/>
      <c r="I27" s="65">
        <v>0</v>
      </c>
      <c r="J27" s="65"/>
      <c r="K27" s="7"/>
      <c r="L27" s="17"/>
      <c r="M27" s="17"/>
    </row>
    <row r="28" spans="2:13" ht="10.5">
      <c r="B28" s="66" t="s">
        <v>32</v>
      </c>
      <c r="C28" s="66"/>
      <c r="D28" s="65">
        <v>0.25</v>
      </c>
      <c r="E28" s="65"/>
      <c r="F28" s="73"/>
      <c r="G28" s="73"/>
      <c r="H28" s="8"/>
      <c r="I28" s="65">
        <v>0</v>
      </c>
      <c r="J28" s="65"/>
      <c r="K28" s="7"/>
      <c r="L28" s="17"/>
      <c r="M28" s="17"/>
    </row>
    <row r="29" spans="2:13" ht="10.5">
      <c r="B29" s="66" t="s">
        <v>33</v>
      </c>
      <c r="C29" s="66"/>
      <c r="D29" s="65">
        <v>0.25</v>
      </c>
      <c r="E29" s="65"/>
      <c r="F29" s="73"/>
      <c r="G29" s="73"/>
      <c r="H29" s="8"/>
      <c r="I29" s="65">
        <v>0</v>
      </c>
      <c r="J29" s="65"/>
      <c r="K29" s="7"/>
      <c r="L29" s="17"/>
      <c r="M29" s="17"/>
    </row>
    <row r="30" spans="2:13" ht="12" customHeight="1">
      <c r="B30" s="66" t="s">
        <v>34</v>
      </c>
      <c r="C30" s="66"/>
      <c r="D30" s="65">
        <v>0.25</v>
      </c>
      <c r="E30" s="65"/>
      <c r="F30" s="73"/>
      <c r="G30" s="73"/>
      <c r="H30" s="8"/>
      <c r="I30" s="65">
        <v>0</v>
      </c>
      <c r="J30" s="65"/>
      <c r="K30" s="7"/>
      <c r="L30" s="17"/>
      <c r="M30" s="17"/>
    </row>
    <row r="31" spans="2:13" ht="10.5" customHeight="1">
      <c r="B31" s="66" t="s">
        <v>35</v>
      </c>
      <c r="C31" s="66"/>
      <c r="D31" s="65">
        <v>0.25</v>
      </c>
      <c r="E31" s="65"/>
      <c r="F31" s="73"/>
      <c r="G31" s="73"/>
      <c r="H31" s="8"/>
      <c r="I31" s="65">
        <v>0</v>
      </c>
      <c r="J31" s="65"/>
      <c r="K31" s="7"/>
      <c r="L31" s="17"/>
      <c r="M31" s="17"/>
    </row>
    <row r="32" spans="2:13" ht="12" customHeight="1">
      <c r="B32" s="66" t="s">
        <v>36</v>
      </c>
      <c r="C32" s="66"/>
      <c r="D32" s="65">
        <v>0.25</v>
      </c>
      <c r="E32" s="65"/>
      <c r="F32" s="73"/>
      <c r="G32" s="73"/>
      <c r="H32" s="8"/>
      <c r="I32" s="65">
        <v>0</v>
      </c>
      <c r="J32" s="65"/>
      <c r="K32" s="7"/>
      <c r="L32" s="17"/>
      <c r="M32" s="17"/>
    </row>
    <row r="33" spans="2:13" ht="25.5" customHeight="1">
      <c r="B33" s="66" t="s">
        <v>37</v>
      </c>
      <c r="C33" s="66"/>
      <c r="D33" s="65">
        <v>0.25</v>
      </c>
      <c r="E33" s="65"/>
      <c r="F33" s="73"/>
      <c r="G33" s="73"/>
      <c r="H33" s="8"/>
      <c r="I33" s="65">
        <v>0</v>
      </c>
      <c r="J33" s="65"/>
      <c r="K33" s="7"/>
      <c r="L33" s="17"/>
      <c r="M33" s="17"/>
    </row>
    <row r="34" spans="2:13" ht="12" customHeight="1">
      <c r="B34" s="68" t="s">
        <v>38</v>
      </c>
      <c r="C34" s="68"/>
      <c r="D34" s="61">
        <v>4</v>
      </c>
      <c r="E34" s="61"/>
      <c r="F34" s="61"/>
      <c r="G34" s="61"/>
      <c r="H34" s="9"/>
      <c r="I34" s="61"/>
      <c r="J34" s="61"/>
      <c r="K34" s="10"/>
      <c r="L34" s="18">
        <f>SUM(L18:L33)</f>
        <v>0</v>
      </c>
      <c r="M34" s="18">
        <f>SUM(M18:M33)</f>
        <v>0</v>
      </c>
    </row>
    <row r="35" spans="2:13" ht="28.5" customHeight="1">
      <c r="B35" s="71" t="s">
        <v>39</v>
      </c>
      <c r="C35" s="71"/>
      <c r="D35" s="70" t="s">
        <v>16</v>
      </c>
      <c r="E35" s="70"/>
      <c r="F35" s="70" t="s">
        <v>17</v>
      </c>
      <c r="G35" s="70"/>
      <c r="H35" s="6" t="s">
        <v>18</v>
      </c>
      <c r="I35" s="6" t="s">
        <v>19</v>
      </c>
      <c r="J35" s="6"/>
      <c r="K35" s="6" t="s">
        <v>20</v>
      </c>
      <c r="L35" s="12"/>
      <c r="M35" s="12"/>
    </row>
    <row r="36" spans="2:13" ht="11.25">
      <c r="B36" s="66" t="s">
        <v>40</v>
      </c>
      <c r="C36" s="66"/>
      <c r="D36" s="65">
        <v>1</v>
      </c>
      <c r="E36" s="65"/>
      <c r="F36" s="67">
        <v>0.5</v>
      </c>
      <c r="G36" s="67"/>
      <c r="H36" s="7"/>
      <c r="I36" s="67">
        <v>0</v>
      </c>
      <c r="J36" s="67"/>
      <c r="K36" s="7"/>
      <c r="L36" s="19"/>
      <c r="M36" s="19"/>
    </row>
    <row r="37" spans="2:13" ht="11.25">
      <c r="B37" s="66" t="s">
        <v>41</v>
      </c>
      <c r="C37" s="66"/>
      <c r="D37" s="65">
        <v>1</v>
      </c>
      <c r="E37" s="65"/>
      <c r="F37" s="67"/>
      <c r="G37" s="67"/>
      <c r="H37" s="7"/>
      <c r="I37" s="67">
        <v>0</v>
      </c>
      <c r="J37" s="67"/>
      <c r="K37" s="7"/>
      <c r="L37" s="19"/>
      <c r="M37" s="19"/>
    </row>
    <row r="38" spans="2:13" ht="11.25">
      <c r="B38" s="66" t="s">
        <v>42</v>
      </c>
      <c r="C38" s="66"/>
      <c r="D38" s="65">
        <v>1</v>
      </c>
      <c r="E38" s="65"/>
      <c r="F38" s="67"/>
      <c r="G38" s="67"/>
      <c r="H38" s="7"/>
      <c r="I38" s="67">
        <v>0</v>
      </c>
      <c r="J38" s="67"/>
      <c r="K38" s="7"/>
      <c r="L38" s="19"/>
      <c r="M38" s="19"/>
    </row>
    <row r="39" spans="2:13" ht="11.25">
      <c r="B39" s="64" t="s">
        <v>43</v>
      </c>
      <c r="C39" s="64"/>
      <c r="D39" s="65">
        <v>3</v>
      </c>
      <c r="E39" s="65"/>
      <c r="F39" s="67">
        <v>1.5</v>
      </c>
      <c r="G39" s="67"/>
      <c r="H39" s="7"/>
      <c r="I39" s="67">
        <v>0</v>
      </c>
      <c r="J39" s="67"/>
      <c r="K39" s="7"/>
      <c r="L39" s="19"/>
      <c r="M39" s="19"/>
    </row>
    <row r="40" spans="2:13" ht="11.25">
      <c r="B40" s="66" t="s">
        <v>44</v>
      </c>
      <c r="C40" s="66"/>
      <c r="D40" s="67">
        <v>1</v>
      </c>
      <c r="E40" s="67"/>
      <c r="F40" s="67">
        <v>0.5</v>
      </c>
      <c r="G40" s="67"/>
      <c r="H40" s="7"/>
      <c r="I40" s="67">
        <v>0</v>
      </c>
      <c r="J40" s="67"/>
      <c r="K40" s="7"/>
      <c r="L40" s="19"/>
      <c r="M40" s="19"/>
    </row>
    <row r="41" spans="2:13" ht="11.25">
      <c r="B41" s="66" t="s">
        <v>45</v>
      </c>
      <c r="C41" s="66"/>
      <c r="D41" s="65">
        <v>2</v>
      </c>
      <c r="E41" s="65"/>
      <c r="F41" s="67">
        <v>1</v>
      </c>
      <c r="G41" s="67"/>
      <c r="H41" s="7"/>
      <c r="I41" s="67">
        <v>0</v>
      </c>
      <c r="J41" s="67"/>
      <c r="K41" s="7"/>
      <c r="L41" s="19"/>
      <c r="M41" s="19"/>
    </row>
    <row r="42" spans="2:13" ht="12" customHeight="1">
      <c r="B42" s="68" t="s">
        <v>46</v>
      </c>
      <c r="C42" s="68"/>
      <c r="D42" s="61">
        <v>9</v>
      </c>
      <c r="E42" s="61"/>
      <c r="F42" s="60"/>
      <c r="G42" s="60"/>
      <c r="H42" s="10"/>
      <c r="I42" s="60"/>
      <c r="J42" s="60"/>
      <c r="K42" s="10"/>
      <c r="L42" s="18">
        <f>SUM(L36:L41)</f>
        <v>0</v>
      </c>
      <c r="M42" s="18">
        <f>SUM(M36:M41)</f>
        <v>0</v>
      </c>
    </row>
    <row r="43" spans="2:13" ht="19.5">
      <c r="B43" s="71" t="s">
        <v>47</v>
      </c>
      <c r="C43" s="71"/>
      <c r="D43" s="70" t="s">
        <v>16</v>
      </c>
      <c r="E43" s="70"/>
      <c r="F43" s="70" t="s">
        <v>17</v>
      </c>
      <c r="G43" s="70"/>
      <c r="H43" s="6" t="s">
        <v>18</v>
      </c>
      <c r="I43" s="6" t="s">
        <v>19</v>
      </c>
      <c r="J43" s="6"/>
      <c r="K43" s="6" t="s">
        <v>20</v>
      </c>
      <c r="L43" s="12"/>
      <c r="M43" s="12"/>
    </row>
    <row r="44" spans="2:13" ht="12.75" customHeight="1">
      <c r="B44" s="66" t="s">
        <v>48</v>
      </c>
      <c r="C44" s="66"/>
      <c r="D44" s="65"/>
      <c r="E44" s="65"/>
      <c r="F44" s="67"/>
      <c r="G44" s="67"/>
      <c r="H44" s="7"/>
      <c r="I44" s="67"/>
      <c r="J44" s="67"/>
      <c r="K44" s="7"/>
      <c r="L44" s="20"/>
      <c r="M44" s="20"/>
    </row>
    <row r="45" spans="2:13" ht="15" customHeight="1">
      <c r="B45" s="66" t="s">
        <v>49</v>
      </c>
      <c r="C45" s="66"/>
      <c r="D45" s="67">
        <v>2</v>
      </c>
      <c r="E45" s="67"/>
      <c r="F45" s="67">
        <v>0.5</v>
      </c>
      <c r="G45" s="67"/>
      <c r="H45" s="7"/>
      <c r="I45" s="67">
        <v>0</v>
      </c>
      <c r="J45" s="67"/>
      <c r="K45" s="7"/>
      <c r="L45" s="17"/>
      <c r="M45" s="17"/>
    </row>
    <row r="46" spans="2:13" ht="12" customHeight="1">
      <c r="B46" s="66" t="s">
        <v>50</v>
      </c>
      <c r="C46" s="66"/>
      <c r="D46" s="65">
        <v>1</v>
      </c>
      <c r="E46" s="65"/>
      <c r="F46" s="67">
        <v>0.5</v>
      </c>
      <c r="G46" s="67"/>
      <c r="H46" s="7"/>
      <c r="I46" s="67">
        <v>0</v>
      </c>
      <c r="J46" s="67"/>
      <c r="K46" s="7"/>
      <c r="L46" s="17"/>
      <c r="M46" s="17"/>
    </row>
    <row r="47" spans="2:13" ht="34.5" customHeight="1">
      <c r="B47" s="66" t="s">
        <v>51</v>
      </c>
      <c r="C47" s="66"/>
      <c r="D47" s="65">
        <v>2</v>
      </c>
      <c r="E47" s="65"/>
      <c r="F47" s="67">
        <v>1</v>
      </c>
      <c r="G47" s="67"/>
      <c r="H47" s="7"/>
      <c r="I47" s="67">
        <v>0</v>
      </c>
      <c r="J47" s="67"/>
      <c r="K47" s="7"/>
      <c r="L47" s="17"/>
      <c r="M47" s="17"/>
    </row>
    <row r="48" spans="2:13" ht="11.25" customHeight="1">
      <c r="B48" s="66" t="s">
        <v>52</v>
      </c>
      <c r="C48" s="66"/>
      <c r="D48" s="67">
        <v>4</v>
      </c>
      <c r="E48" s="67"/>
      <c r="F48" s="67">
        <v>2</v>
      </c>
      <c r="G48" s="67"/>
      <c r="H48" s="7"/>
      <c r="I48" s="67">
        <v>0</v>
      </c>
      <c r="J48" s="67"/>
      <c r="K48" s="7"/>
      <c r="L48" s="17"/>
      <c r="M48" s="17"/>
    </row>
    <row r="49" spans="2:13" ht="11.25">
      <c r="B49" s="68" t="s">
        <v>46</v>
      </c>
      <c r="C49" s="68"/>
      <c r="D49" s="60">
        <v>9</v>
      </c>
      <c r="E49" s="60"/>
      <c r="F49" s="60"/>
      <c r="G49" s="60"/>
      <c r="H49" s="10"/>
      <c r="I49" s="60"/>
      <c r="J49" s="60"/>
      <c r="K49" s="10"/>
      <c r="L49" s="18">
        <f>SUM(L45:L48)</f>
        <v>0</v>
      </c>
      <c r="M49" s="18">
        <f>SUM(M45:M48)</f>
        <v>0</v>
      </c>
    </row>
    <row r="50" spans="2:13" ht="9.75">
      <c r="B50" s="71" t="s">
        <v>53</v>
      </c>
      <c r="C50" s="71"/>
      <c r="D50" s="70" t="s">
        <v>16</v>
      </c>
      <c r="E50" s="70"/>
      <c r="F50" s="72" t="s">
        <v>17</v>
      </c>
      <c r="G50" s="72"/>
      <c r="H50" s="11" t="s">
        <v>18</v>
      </c>
      <c r="I50" s="72" t="s">
        <v>19</v>
      </c>
      <c r="J50" s="72"/>
      <c r="K50" s="11" t="s">
        <v>20</v>
      </c>
      <c r="L50" s="12"/>
      <c r="M50" s="12"/>
    </row>
    <row r="51" spans="2:13" ht="12" customHeight="1">
      <c r="B51" s="66" t="s">
        <v>54</v>
      </c>
      <c r="C51" s="66"/>
      <c r="D51" s="67">
        <v>8</v>
      </c>
      <c r="E51" s="67"/>
      <c r="F51" s="67">
        <v>4</v>
      </c>
      <c r="G51" s="67"/>
      <c r="H51" s="7"/>
      <c r="I51" s="67">
        <v>0</v>
      </c>
      <c r="J51" s="67"/>
      <c r="K51" s="7" t="s">
        <v>24</v>
      </c>
      <c r="L51" s="17"/>
      <c r="M51" s="17"/>
    </row>
    <row r="52" spans="2:13" ht="12" customHeight="1">
      <c r="B52" s="66" t="s">
        <v>55</v>
      </c>
      <c r="C52" s="66"/>
      <c r="D52" s="65">
        <v>8</v>
      </c>
      <c r="E52" s="65"/>
      <c r="F52" s="67">
        <v>4</v>
      </c>
      <c r="G52" s="67"/>
      <c r="H52" s="7"/>
      <c r="I52" s="67">
        <v>0</v>
      </c>
      <c r="J52" s="67"/>
      <c r="K52" s="7" t="s">
        <v>24</v>
      </c>
      <c r="L52" s="17"/>
      <c r="M52" s="17"/>
    </row>
    <row r="53" spans="2:13" ht="12" customHeight="1">
      <c r="B53" s="66" t="s">
        <v>56</v>
      </c>
      <c r="C53" s="66"/>
      <c r="D53" s="67">
        <v>4</v>
      </c>
      <c r="E53" s="67"/>
      <c r="F53" s="67"/>
      <c r="G53" s="67"/>
      <c r="H53" s="7"/>
      <c r="I53" s="67">
        <v>0</v>
      </c>
      <c r="J53" s="67"/>
      <c r="K53" s="7"/>
      <c r="L53" s="17"/>
      <c r="M53" s="17"/>
    </row>
    <row r="54" spans="2:13" ht="12" customHeight="1">
      <c r="B54" s="68" t="s">
        <v>46</v>
      </c>
      <c r="C54" s="68"/>
      <c r="D54" s="60">
        <v>20</v>
      </c>
      <c r="E54" s="60"/>
      <c r="F54" s="60"/>
      <c r="G54" s="60"/>
      <c r="H54" s="10"/>
      <c r="I54" s="60"/>
      <c r="J54" s="60"/>
      <c r="K54" s="10"/>
      <c r="L54" s="18">
        <f>SUM(L51:L53)</f>
        <v>0</v>
      </c>
      <c r="M54" s="18">
        <f>SUM(M51:M53)</f>
        <v>0</v>
      </c>
    </row>
    <row r="55" spans="2:13" ht="9.75">
      <c r="B55" s="71" t="s">
        <v>57</v>
      </c>
      <c r="C55" s="71"/>
      <c r="D55" s="70" t="s">
        <v>16</v>
      </c>
      <c r="E55" s="70"/>
      <c r="F55" s="72" t="s">
        <v>17</v>
      </c>
      <c r="G55" s="72"/>
      <c r="H55" s="11" t="s">
        <v>18</v>
      </c>
      <c r="I55" s="72" t="s">
        <v>19</v>
      </c>
      <c r="J55" s="72"/>
      <c r="K55" s="11" t="s">
        <v>20</v>
      </c>
      <c r="L55" s="12"/>
      <c r="M55" s="12"/>
    </row>
    <row r="56" spans="2:13" ht="23.25" customHeight="1">
      <c r="B56" s="66" t="s">
        <v>58</v>
      </c>
      <c r="C56" s="66"/>
      <c r="D56" s="67">
        <v>5</v>
      </c>
      <c r="E56" s="67"/>
      <c r="F56" s="65">
        <v>1</v>
      </c>
      <c r="G56" s="65"/>
      <c r="H56" s="5">
        <v>2</v>
      </c>
      <c r="I56" s="65">
        <v>0</v>
      </c>
      <c r="J56" s="65"/>
      <c r="K56" s="5" t="s">
        <v>24</v>
      </c>
      <c r="L56" s="17"/>
      <c r="M56" s="17"/>
    </row>
    <row r="57" spans="2:13" ht="23.25" customHeight="1">
      <c r="B57" s="66" t="s">
        <v>59</v>
      </c>
      <c r="C57" s="66"/>
      <c r="D57" s="67">
        <v>5</v>
      </c>
      <c r="E57" s="67"/>
      <c r="F57" s="65">
        <v>1</v>
      </c>
      <c r="G57" s="65"/>
      <c r="H57" s="5">
        <v>2</v>
      </c>
      <c r="I57" s="65">
        <v>0</v>
      </c>
      <c r="J57" s="65"/>
      <c r="K57" s="5" t="s">
        <v>24</v>
      </c>
      <c r="L57" s="21"/>
      <c r="M57" s="21"/>
    </row>
    <row r="58" spans="2:13" ht="23.25" customHeight="1">
      <c r="B58" s="66" t="s">
        <v>60</v>
      </c>
      <c r="C58" s="66"/>
      <c r="D58" s="67">
        <v>4</v>
      </c>
      <c r="E58" s="67"/>
      <c r="F58" s="65">
        <v>1</v>
      </c>
      <c r="G58" s="65"/>
      <c r="H58" s="5">
        <v>2</v>
      </c>
      <c r="I58" s="65">
        <v>0</v>
      </c>
      <c r="J58" s="65"/>
      <c r="K58" s="5" t="s">
        <v>24</v>
      </c>
      <c r="L58" s="17"/>
      <c r="M58" s="17"/>
    </row>
    <row r="59" spans="2:13" ht="23.25" customHeight="1">
      <c r="B59" s="66" t="s">
        <v>61</v>
      </c>
      <c r="C59" s="66"/>
      <c r="D59" s="67">
        <v>4</v>
      </c>
      <c r="E59" s="67"/>
      <c r="F59" s="65"/>
      <c r="G59" s="65"/>
      <c r="H59" s="5"/>
      <c r="I59" s="65"/>
      <c r="J59" s="65"/>
      <c r="K59" s="5" t="s">
        <v>62</v>
      </c>
      <c r="L59" s="21"/>
      <c r="M59" s="21"/>
    </row>
    <row r="60" spans="2:13" ht="23.25" customHeight="1">
      <c r="B60" s="66" t="s">
        <v>63</v>
      </c>
      <c r="C60" s="66"/>
      <c r="D60" s="67">
        <v>4</v>
      </c>
      <c r="E60" s="67"/>
      <c r="F60" s="65">
        <v>1</v>
      </c>
      <c r="G60" s="65"/>
      <c r="H60" s="5">
        <v>2</v>
      </c>
      <c r="I60" s="65" t="s">
        <v>64</v>
      </c>
      <c r="J60" s="65"/>
      <c r="K60" s="5" t="s">
        <v>24</v>
      </c>
      <c r="L60" s="21"/>
      <c r="M60" s="21"/>
    </row>
    <row r="61" spans="2:13" ht="12.75" customHeight="1">
      <c r="B61" s="64" t="s">
        <v>65</v>
      </c>
      <c r="C61" s="64"/>
      <c r="D61" s="67">
        <v>2</v>
      </c>
      <c r="E61" s="67"/>
      <c r="F61" s="67"/>
      <c r="G61" s="67"/>
      <c r="H61" s="7"/>
      <c r="I61" s="67">
        <v>0</v>
      </c>
      <c r="J61" s="67"/>
      <c r="K61" s="7" t="s">
        <v>24</v>
      </c>
      <c r="L61" s="17"/>
      <c r="M61" s="17"/>
    </row>
    <row r="62" spans="2:13" ht="11.25" customHeight="1">
      <c r="B62" s="68" t="s">
        <v>38</v>
      </c>
      <c r="C62" s="68"/>
      <c r="D62" s="60">
        <v>24</v>
      </c>
      <c r="E62" s="60"/>
      <c r="F62" s="61"/>
      <c r="G62" s="61"/>
      <c r="H62" s="9"/>
      <c r="I62" s="61"/>
      <c r="J62" s="61"/>
      <c r="K62" s="10"/>
      <c r="L62" s="22">
        <f>SUM(L56:L61)</f>
        <v>0</v>
      </c>
      <c r="M62" s="22">
        <f>SUM(M56:M61)</f>
        <v>0</v>
      </c>
    </row>
    <row r="63" spans="2:13" ht="19.5">
      <c r="B63" s="71" t="s">
        <v>66</v>
      </c>
      <c r="C63" s="71"/>
      <c r="D63" s="72" t="s">
        <v>16</v>
      </c>
      <c r="E63" s="72"/>
      <c r="F63" s="70" t="s">
        <v>17</v>
      </c>
      <c r="G63" s="70"/>
      <c r="H63" s="6" t="s">
        <v>18</v>
      </c>
      <c r="I63" s="70" t="s">
        <v>19</v>
      </c>
      <c r="J63" s="70"/>
      <c r="K63" s="6" t="s">
        <v>20</v>
      </c>
      <c r="L63" s="12"/>
      <c r="M63" s="12"/>
    </row>
    <row r="64" spans="2:13" ht="24.75" customHeight="1">
      <c r="B64" s="66" t="s">
        <v>67</v>
      </c>
      <c r="C64" s="66"/>
      <c r="D64" s="65">
        <v>4</v>
      </c>
      <c r="E64" s="65"/>
      <c r="F64" s="67" t="s">
        <v>68</v>
      </c>
      <c r="G64" s="67"/>
      <c r="H64" s="7"/>
      <c r="I64" s="67">
        <v>0</v>
      </c>
      <c r="J64" s="67"/>
      <c r="K64" s="7" t="s">
        <v>24</v>
      </c>
      <c r="L64" s="17"/>
      <c r="M64" s="17"/>
    </row>
    <row r="65" spans="2:13" ht="34.5" customHeight="1">
      <c r="B65" s="66" t="s">
        <v>69</v>
      </c>
      <c r="C65" s="66"/>
      <c r="D65" s="65">
        <v>4</v>
      </c>
      <c r="E65" s="65"/>
      <c r="F65" s="67" t="s">
        <v>70</v>
      </c>
      <c r="G65" s="67"/>
      <c r="H65" s="7"/>
      <c r="I65" s="67">
        <v>0</v>
      </c>
      <c r="J65" s="67"/>
      <c r="K65" s="7" t="s">
        <v>24</v>
      </c>
      <c r="L65" s="17"/>
      <c r="M65" s="17"/>
    </row>
    <row r="66" spans="2:13" ht="12.75" customHeight="1">
      <c r="B66" s="66" t="s">
        <v>71</v>
      </c>
      <c r="C66" s="66"/>
      <c r="D66" s="65">
        <v>2</v>
      </c>
      <c r="E66" s="65"/>
      <c r="F66" s="67"/>
      <c r="G66" s="67"/>
      <c r="H66" s="7"/>
      <c r="I66" s="67">
        <v>0</v>
      </c>
      <c r="J66" s="67"/>
      <c r="K66" s="7" t="s">
        <v>24</v>
      </c>
      <c r="L66" s="17"/>
      <c r="M66" s="17"/>
    </row>
    <row r="67" spans="2:13" ht="12.75" customHeight="1">
      <c r="B67" s="66" t="s">
        <v>72</v>
      </c>
      <c r="C67" s="66"/>
      <c r="D67" s="65">
        <v>2</v>
      </c>
      <c r="E67" s="65"/>
      <c r="F67" s="67"/>
      <c r="G67" s="67"/>
      <c r="H67" s="7"/>
      <c r="I67" s="67">
        <v>0</v>
      </c>
      <c r="J67" s="67"/>
      <c r="K67" s="7" t="s">
        <v>24</v>
      </c>
      <c r="L67" s="17"/>
      <c r="M67" s="17"/>
    </row>
    <row r="68" spans="2:13" ht="9.75">
      <c r="B68" s="66" t="s">
        <v>73</v>
      </c>
      <c r="C68" s="66"/>
      <c r="D68" s="65">
        <v>2</v>
      </c>
      <c r="E68" s="65"/>
      <c r="F68" s="67"/>
      <c r="G68" s="67"/>
      <c r="H68" s="7"/>
      <c r="I68" s="67">
        <v>0</v>
      </c>
      <c r="J68" s="67"/>
      <c r="K68" s="7" t="s">
        <v>24</v>
      </c>
      <c r="L68" s="17"/>
      <c r="M68" s="17"/>
    </row>
    <row r="69" spans="2:13" ht="12.75" customHeight="1">
      <c r="B69" s="66" t="s">
        <v>74</v>
      </c>
      <c r="C69" s="66"/>
      <c r="D69" s="65">
        <v>2</v>
      </c>
      <c r="E69" s="65"/>
      <c r="F69" s="67"/>
      <c r="G69" s="67"/>
      <c r="H69" s="7"/>
      <c r="I69" s="67">
        <v>0</v>
      </c>
      <c r="J69" s="67"/>
      <c r="K69" s="7" t="s">
        <v>24</v>
      </c>
      <c r="L69" s="17"/>
      <c r="M69" s="17"/>
    </row>
    <row r="70" spans="2:13" ht="12.75" customHeight="1">
      <c r="B70" s="66" t="s">
        <v>75</v>
      </c>
      <c r="C70" s="66"/>
      <c r="D70" s="65">
        <v>1</v>
      </c>
      <c r="E70" s="65"/>
      <c r="F70" s="67" t="s">
        <v>76</v>
      </c>
      <c r="G70" s="67"/>
      <c r="H70" s="7"/>
      <c r="I70" s="67">
        <v>0</v>
      </c>
      <c r="J70" s="67"/>
      <c r="K70" s="7" t="s">
        <v>24</v>
      </c>
      <c r="L70" s="17"/>
      <c r="M70" s="17"/>
    </row>
    <row r="71" spans="2:13" ht="11.25">
      <c r="B71" s="68" t="s">
        <v>46</v>
      </c>
      <c r="C71" s="68"/>
      <c r="D71" s="61">
        <v>17</v>
      </c>
      <c r="E71" s="61"/>
      <c r="F71" s="60"/>
      <c r="G71" s="60"/>
      <c r="H71" s="10"/>
      <c r="I71" s="60"/>
      <c r="J71" s="60"/>
      <c r="K71" s="10"/>
      <c r="L71" s="18">
        <f>SUM(L64:L70)</f>
        <v>0</v>
      </c>
      <c r="M71" s="18">
        <f>SUM(M64:M70)</f>
        <v>0</v>
      </c>
    </row>
    <row r="72" spans="2:13" ht="9.75">
      <c r="B72" s="69" t="s">
        <v>77</v>
      </c>
      <c r="C72" s="69"/>
      <c r="D72" s="70"/>
      <c r="E72" s="70"/>
      <c r="F72" s="70"/>
      <c r="G72" s="70"/>
      <c r="H72" s="6"/>
      <c r="I72" s="70"/>
      <c r="J72" s="70"/>
      <c r="K72" s="11"/>
      <c r="L72" s="12"/>
      <c r="M72" s="12"/>
    </row>
    <row r="73" spans="2:13" ht="31.5" customHeight="1">
      <c r="B73" s="66" t="s">
        <v>78</v>
      </c>
      <c r="C73" s="66"/>
      <c r="D73" s="65">
        <v>2</v>
      </c>
      <c r="E73" s="65"/>
      <c r="F73" s="65">
        <v>1</v>
      </c>
      <c r="G73" s="65"/>
      <c r="H73" s="5"/>
      <c r="I73" s="65" t="s">
        <v>79</v>
      </c>
      <c r="J73" s="65"/>
      <c r="K73" s="7" t="s">
        <v>24</v>
      </c>
      <c r="L73" s="17"/>
      <c r="M73" s="17"/>
    </row>
    <row r="74" spans="2:13" ht="9.75">
      <c r="B74" s="64" t="s">
        <v>80</v>
      </c>
      <c r="C74" s="64"/>
      <c r="D74" s="65">
        <v>1</v>
      </c>
      <c r="E74" s="65"/>
      <c r="F74" s="65"/>
      <c r="G74" s="65"/>
      <c r="H74" s="5"/>
      <c r="I74" s="65">
        <v>0</v>
      </c>
      <c r="J74" s="65"/>
      <c r="K74" s="7"/>
      <c r="L74" s="17"/>
      <c r="M74" s="17"/>
    </row>
    <row r="75" spans="2:13" ht="9.75">
      <c r="B75" s="66" t="s">
        <v>81</v>
      </c>
      <c r="C75" s="66"/>
      <c r="D75" s="65">
        <v>1</v>
      </c>
      <c r="E75" s="65"/>
      <c r="F75" s="65"/>
      <c r="G75" s="65"/>
      <c r="H75" s="5"/>
      <c r="I75" s="65">
        <v>0</v>
      </c>
      <c r="J75" s="65"/>
      <c r="K75" s="7"/>
      <c r="L75" s="17"/>
      <c r="M75" s="17"/>
    </row>
    <row r="76" spans="2:13" ht="9.75">
      <c r="B76" s="64" t="s">
        <v>82</v>
      </c>
      <c r="C76" s="64"/>
      <c r="D76" s="65">
        <v>1</v>
      </c>
      <c r="E76" s="65"/>
      <c r="F76" s="65"/>
      <c r="G76" s="65"/>
      <c r="H76" s="5"/>
      <c r="I76" s="65">
        <v>0</v>
      </c>
      <c r="J76" s="65"/>
      <c r="K76" s="7"/>
      <c r="L76" s="17"/>
      <c r="M76" s="17"/>
    </row>
    <row r="77" spans="2:13" ht="9.75">
      <c r="B77" s="64" t="s">
        <v>83</v>
      </c>
      <c r="C77" s="64"/>
      <c r="D77" s="65">
        <v>2</v>
      </c>
      <c r="E77" s="65"/>
      <c r="F77" s="65">
        <v>1</v>
      </c>
      <c r="G77" s="65"/>
      <c r="H77" s="5"/>
      <c r="I77" s="65">
        <v>0</v>
      </c>
      <c r="J77" s="65"/>
      <c r="K77" s="7"/>
      <c r="L77" s="17"/>
      <c r="M77" s="17"/>
    </row>
    <row r="78" spans="2:13" ht="11.25">
      <c r="B78" s="59" t="s">
        <v>46</v>
      </c>
      <c r="C78" s="59"/>
      <c r="D78" s="60">
        <v>7</v>
      </c>
      <c r="E78" s="60"/>
      <c r="F78" s="60"/>
      <c r="G78" s="60"/>
      <c r="H78" s="10"/>
      <c r="I78" s="60"/>
      <c r="J78" s="60"/>
      <c r="K78" s="10"/>
      <c r="L78" s="18">
        <f>SUM(L73:L77)</f>
        <v>0</v>
      </c>
      <c r="M78" s="18">
        <f>SUM(M73:M77)</f>
        <v>0</v>
      </c>
    </row>
    <row r="79" spans="2:13" ht="11.25">
      <c r="B79" s="59" t="s">
        <v>84</v>
      </c>
      <c r="C79" s="59"/>
      <c r="D79" s="60">
        <v>10</v>
      </c>
      <c r="E79" s="60"/>
      <c r="F79" s="61">
        <v>5</v>
      </c>
      <c r="G79" s="61"/>
      <c r="H79" s="9"/>
      <c r="I79" s="61">
        <v>0</v>
      </c>
      <c r="J79" s="61"/>
      <c r="K79" s="10" t="s">
        <v>24</v>
      </c>
      <c r="L79" s="18"/>
      <c r="M79" s="18"/>
    </row>
    <row r="80" spans="2:13" ht="11.25">
      <c r="B80" s="62" t="s">
        <v>85</v>
      </c>
      <c r="C80" s="62"/>
      <c r="D80" s="63">
        <v>100</v>
      </c>
      <c r="E80" s="63"/>
      <c r="F80" s="63"/>
      <c r="G80" s="63"/>
      <c r="H80" s="25"/>
      <c r="I80" s="63"/>
      <c r="J80" s="63"/>
      <c r="K80" s="25"/>
      <c r="L80" s="31"/>
      <c r="M80" s="31"/>
    </row>
    <row r="81" spans="2:13" ht="11.25" customHeight="1">
      <c r="B81" s="54" t="s">
        <v>86</v>
      </c>
      <c r="C81" s="55"/>
      <c r="D81" s="55"/>
      <c r="E81" s="55"/>
      <c r="F81" s="55"/>
      <c r="G81" s="55"/>
      <c r="H81" s="55"/>
      <c r="I81" s="55"/>
      <c r="J81" s="55"/>
      <c r="K81" s="56"/>
      <c r="L81" s="19">
        <f>SUM(L34,L42,L49,L54,L62,L71,L78,L79)</f>
        <v>0</v>
      </c>
      <c r="M81" s="19">
        <f>SUM(M34,M42,M49,M54,M62,M71,M78,M79)</f>
        <v>0</v>
      </c>
    </row>
    <row r="82" spans="2:13" ht="11.25" customHeight="1">
      <c r="B82" s="54" t="s">
        <v>87</v>
      </c>
      <c r="C82" s="55"/>
      <c r="D82" s="55"/>
      <c r="E82" s="55"/>
      <c r="F82" s="55"/>
      <c r="G82" s="55"/>
      <c r="H82" s="55"/>
      <c r="I82" s="55"/>
      <c r="J82" s="55"/>
      <c r="K82" s="56"/>
      <c r="L82" s="19"/>
      <c r="M82" s="19"/>
    </row>
    <row r="83" spans="2:13" ht="11.25" customHeight="1">
      <c r="B83" s="54" t="s">
        <v>88</v>
      </c>
      <c r="C83" s="55"/>
      <c r="D83" s="55"/>
      <c r="E83" s="55"/>
      <c r="F83" s="55"/>
      <c r="G83" s="55"/>
      <c r="H83" s="55"/>
      <c r="I83" s="55"/>
      <c r="J83" s="55"/>
      <c r="K83" s="56"/>
      <c r="L83" s="32">
        <f>+L81*100/(100-L82)</f>
        <v>0</v>
      </c>
      <c r="M83" s="32">
        <f>+M81*100/(100-M82)</f>
        <v>0</v>
      </c>
    </row>
    <row r="84" spans="2:13" ht="11.25">
      <c r="B84" s="57" t="s">
        <v>89</v>
      </c>
      <c r="C84" s="57"/>
      <c r="D84" s="57"/>
      <c r="E84" s="57"/>
      <c r="F84" s="57"/>
      <c r="G84" s="57"/>
      <c r="H84" s="57"/>
      <c r="I84" s="57"/>
      <c r="J84" s="57"/>
      <c r="K84" s="57"/>
      <c r="L84" s="47" t="s">
        <v>90</v>
      </c>
      <c r="M84" s="47" t="s">
        <v>90</v>
      </c>
    </row>
    <row r="85" spans="2:13" ht="10.5" customHeight="1">
      <c r="B85" s="45" t="s">
        <v>91</v>
      </c>
      <c r="C85" s="58" t="s">
        <v>92</v>
      </c>
      <c r="D85" s="58"/>
      <c r="E85" s="58"/>
      <c r="F85" s="58"/>
      <c r="G85" s="58"/>
      <c r="H85" s="58"/>
      <c r="I85" s="58"/>
      <c r="J85" s="58"/>
      <c r="K85" s="58"/>
      <c r="L85" s="19"/>
      <c r="M85" s="19"/>
    </row>
    <row r="86" spans="2:13" ht="11.25" customHeight="1">
      <c r="B86" s="45" t="s">
        <v>93</v>
      </c>
      <c r="C86" s="58" t="s">
        <v>94</v>
      </c>
      <c r="D86" s="58"/>
      <c r="E86" s="58"/>
      <c r="F86" s="58"/>
      <c r="G86" s="58"/>
      <c r="H86" s="58"/>
      <c r="I86" s="58"/>
      <c r="J86" s="58"/>
      <c r="K86" s="58"/>
      <c r="L86" s="19"/>
      <c r="M86" s="19"/>
    </row>
    <row r="87" spans="2:13" ht="11.25" customHeight="1">
      <c r="B87" s="45" t="s">
        <v>95</v>
      </c>
      <c r="C87" s="58" t="s">
        <v>96</v>
      </c>
      <c r="D87" s="58"/>
      <c r="E87" s="58"/>
      <c r="F87" s="58"/>
      <c r="G87" s="58"/>
      <c r="H87" s="58"/>
      <c r="I87" s="58"/>
      <c r="J87" s="58"/>
      <c r="K87" s="58"/>
      <c r="L87" s="19"/>
      <c r="M87" s="19"/>
    </row>
    <row r="88" spans="2:13" ht="11.25">
      <c r="B88" s="51" t="s">
        <v>97</v>
      </c>
      <c r="C88" s="52"/>
      <c r="D88" s="52"/>
      <c r="E88" s="52"/>
      <c r="F88" s="52"/>
      <c r="G88" s="52"/>
      <c r="H88" s="52"/>
      <c r="I88" s="52"/>
      <c r="J88" s="52"/>
      <c r="K88" s="53"/>
      <c r="L88" s="33"/>
      <c r="M88" s="33"/>
    </row>
    <row r="89" spans="2:13" ht="26.45" customHeight="1">
      <c r="B89" s="48"/>
      <c r="C89" s="49"/>
      <c r="D89" s="49"/>
      <c r="E89" s="49"/>
      <c r="F89" s="49"/>
      <c r="G89" s="49"/>
      <c r="H89" s="49"/>
      <c r="I89" s="49"/>
      <c r="J89" s="49"/>
      <c r="K89" s="50"/>
      <c r="L89" s="41"/>
      <c r="M89" s="41"/>
    </row>
    <row r="90" spans="2:13" ht="11.25">
      <c r="B90" s="51" t="s">
        <v>98</v>
      </c>
      <c r="C90" s="52"/>
      <c r="D90" s="52"/>
      <c r="E90" s="52"/>
      <c r="F90" s="52"/>
      <c r="G90" s="52"/>
      <c r="H90" s="52"/>
      <c r="I90" s="52"/>
      <c r="J90" s="52"/>
      <c r="K90" s="53"/>
      <c r="L90" s="34"/>
      <c r="M90" s="34"/>
    </row>
    <row r="91" spans="2:13" ht="35.450000000000003" customHeight="1">
      <c r="B91" s="48"/>
      <c r="C91" s="49"/>
      <c r="D91" s="49"/>
      <c r="E91" s="49"/>
      <c r="F91" s="49"/>
      <c r="G91" s="49"/>
      <c r="H91" s="49"/>
      <c r="I91" s="49"/>
      <c r="J91" s="49"/>
      <c r="K91" s="50"/>
      <c r="L91" s="41"/>
      <c r="M91" s="41"/>
    </row>
    <row r="92" spans="2:13" ht="11.25">
      <c r="B92" s="51" t="s">
        <v>99</v>
      </c>
      <c r="C92" s="52"/>
      <c r="D92" s="52"/>
      <c r="E92" s="52"/>
      <c r="F92" s="52"/>
      <c r="G92" s="52"/>
      <c r="H92" s="52"/>
      <c r="I92" s="52"/>
      <c r="J92" s="52"/>
      <c r="K92" s="53"/>
      <c r="L92" s="34"/>
      <c r="M92" s="34"/>
    </row>
    <row r="93" spans="2:13" ht="33.6" customHeight="1">
      <c r="B93" s="48"/>
      <c r="C93" s="49"/>
      <c r="D93" s="49"/>
      <c r="E93" s="49"/>
      <c r="F93" s="49"/>
      <c r="G93" s="49"/>
      <c r="H93" s="49"/>
      <c r="I93" s="49"/>
      <c r="J93" s="49"/>
      <c r="K93" s="50"/>
      <c r="L93" s="41"/>
      <c r="M93" s="41"/>
    </row>
    <row r="94" spans="2:13" ht="10.5">
      <c r="B94" s="29"/>
      <c r="C94" s="29"/>
      <c r="D94" s="30"/>
      <c r="E94" s="30"/>
      <c r="F94" s="30"/>
      <c r="G94" s="30"/>
      <c r="H94" s="30"/>
      <c r="I94" s="30"/>
      <c r="J94" s="30"/>
      <c r="K94" s="30"/>
    </row>
  </sheetData>
  <mergeCells count="290">
    <mergeCell ref="B3:K3"/>
    <mergeCell ref="B4:K4"/>
    <mergeCell ref="B5:K5"/>
    <mergeCell ref="B6:D6"/>
    <mergeCell ref="E6:K6"/>
    <mergeCell ref="B7:D7"/>
    <mergeCell ref="E7:K7"/>
    <mergeCell ref="B8:D8"/>
    <mergeCell ref="E8:K8"/>
    <mergeCell ref="B9:D9"/>
    <mergeCell ref="E9:K9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6:K16"/>
    <mergeCell ref="B17:C17"/>
    <mergeCell ref="D17:E17"/>
    <mergeCell ref="F17:G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55:C55"/>
    <mergeCell ref="D55:E55"/>
    <mergeCell ref="F55:G55"/>
    <mergeCell ref="I55:J55"/>
    <mergeCell ref="B56:C56"/>
    <mergeCell ref="D56:E56"/>
    <mergeCell ref="F56:G56"/>
    <mergeCell ref="I56:J56"/>
    <mergeCell ref="B57:C57"/>
    <mergeCell ref="D57:E57"/>
    <mergeCell ref="F57:G57"/>
    <mergeCell ref="I57:J57"/>
    <mergeCell ref="B58:C58"/>
    <mergeCell ref="D58:E58"/>
    <mergeCell ref="F58:G58"/>
    <mergeCell ref="I58:J58"/>
    <mergeCell ref="B59:C59"/>
    <mergeCell ref="D59:E59"/>
    <mergeCell ref="F59:G59"/>
    <mergeCell ref="I59:J59"/>
    <mergeCell ref="B60:C60"/>
    <mergeCell ref="D60:E60"/>
    <mergeCell ref="F60:G60"/>
    <mergeCell ref="I60:J60"/>
    <mergeCell ref="B61:C61"/>
    <mergeCell ref="D61:E61"/>
    <mergeCell ref="F61:G61"/>
    <mergeCell ref="I61:J61"/>
    <mergeCell ref="B62:C62"/>
    <mergeCell ref="D62:E62"/>
    <mergeCell ref="F62:G62"/>
    <mergeCell ref="I62:J62"/>
    <mergeCell ref="B63:C63"/>
    <mergeCell ref="D63:E63"/>
    <mergeCell ref="F63:G63"/>
    <mergeCell ref="I63:J63"/>
    <mergeCell ref="B64:C64"/>
    <mergeCell ref="D64:E64"/>
    <mergeCell ref="F64:G64"/>
    <mergeCell ref="I64:J64"/>
    <mergeCell ref="B65:C65"/>
    <mergeCell ref="D65:E65"/>
    <mergeCell ref="F65:G65"/>
    <mergeCell ref="I65:J65"/>
    <mergeCell ref="B66:C66"/>
    <mergeCell ref="D66:E66"/>
    <mergeCell ref="F66:G66"/>
    <mergeCell ref="I66:J66"/>
    <mergeCell ref="B67:C67"/>
    <mergeCell ref="D67:E67"/>
    <mergeCell ref="F67:G67"/>
    <mergeCell ref="I67:J67"/>
    <mergeCell ref="B68:C68"/>
    <mergeCell ref="D68:E68"/>
    <mergeCell ref="F68:G68"/>
    <mergeCell ref="I68:J68"/>
    <mergeCell ref="B69:C69"/>
    <mergeCell ref="D69:E69"/>
    <mergeCell ref="F69:G69"/>
    <mergeCell ref="I69:J69"/>
    <mergeCell ref="B70:C70"/>
    <mergeCell ref="D70:E70"/>
    <mergeCell ref="F70:G70"/>
    <mergeCell ref="I70:J70"/>
    <mergeCell ref="B71:C71"/>
    <mergeCell ref="D71:E71"/>
    <mergeCell ref="F71:G71"/>
    <mergeCell ref="I71:J71"/>
    <mergeCell ref="B72:C72"/>
    <mergeCell ref="D72:E72"/>
    <mergeCell ref="F72:G72"/>
    <mergeCell ref="I72:J72"/>
    <mergeCell ref="B73:C73"/>
    <mergeCell ref="D73:E73"/>
    <mergeCell ref="F73:G73"/>
    <mergeCell ref="I73:J73"/>
    <mergeCell ref="B74:C74"/>
    <mergeCell ref="D74:E74"/>
    <mergeCell ref="F74:G74"/>
    <mergeCell ref="I74:J74"/>
    <mergeCell ref="B75:C75"/>
    <mergeCell ref="D75:E75"/>
    <mergeCell ref="F75:G75"/>
    <mergeCell ref="I75:J75"/>
    <mergeCell ref="B76:C76"/>
    <mergeCell ref="D76:E76"/>
    <mergeCell ref="F76:G76"/>
    <mergeCell ref="I76:J76"/>
    <mergeCell ref="B77:C77"/>
    <mergeCell ref="D77:E77"/>
    <mergeCell ref="F77:G77"/>
    <mergeCell ref="I77:J77"/>
    <mergeCell ref="B78:C78"/>
    <mergeCell ref="D78:E78"/>
    <mergeCell ref="F78:G78"/>
    <mergeCell ref="I78:J78"/>
    <mergeCell ref="B79:C79"/>
    <mergeCell ref="D79:E79"/>
    <mergeCell ref="F79:G79"/>
    <mergeCell ref="I79:J79"/>
    <mergeCell ref="B80:C80"/>
    <mergeCell ref="D80:E80"/>
    <mergeCell ref="F80:G80"/>
    <mergeCell ref="I80:J80"/>
    <mergeCell ref="B81:K81"/>
    <mergeCell ref="B91:K91"/>
    <mergeCell ref="B92:K92"/>
    <mergeCell ref="B93:K93"/>
    <mergeCell ref="B82:K82"/>
    <mergeCell ref="B83:K83"/>
    <mergeCell ref="B84:K84"/>
    <mergeCell ref="C85:K85"/>
    <mergeCell ref="C86:K86"/>
    <mergeCell ref="C87:K87"/>
    <mergeCell ref="B88:K88"/>
    <mergeCell ref="B89:K89"/>
    <mergeCell ref="B90:K90"/>
  </mergeCells>
  <pageMargins left="0.25" right="0.25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92"/>
  <sheetViews>
    <sheetView zoomScale="130" zoomScaleNormal="130" workbookViewId="0">
      <selection activeCell="H68" sqref="H68"/>
    </sheetView>
  </sheetViews>
  <sheetFormatPr baseColWidth="10" defaultColWidth="11.42578125" defaultRowHeight="9"/>
  <cols>
    <col min="1" max="1" width="1.85546875" style="1" customWidth="1"/>
    <col min="2" max="2" width="30.5703125" style="1" customWidth="1"/>
    <col min="3" max="3" width="11.42578125" style="1"/>
    <col min="4" max="4" width="8.5703125" style="2" customWidth="1"/>
    <col min="5" max="5" width="6.85546875" style="2" customWidth="1"/>
    <col min="6" max="6" width="5.7109375" style="2" customWidth="1"/>
    <col min="7" max="7" width="7.28515625" style="2" customWidth="1"/>
    <col min="8" max="8" width="7.85546875" style="2" customWidth="1"/>
    <col min="9" max="9" width="11.28515625" style="2" customWidth="1"/>
    <col min="10" max="10" width="11.42578125" style="2" hidden="1" customWidth="1"/>
    <col min="11" max="11" width="25.28515625" style="2" customWidth="1"/>
    <col min="12" max="16384" width="11.42578125" style="1"/>
  </cols>
  <sheetData>
    <row r="1" spans="2:11" ht="11.25">
      <c r="B1" s="4"/>
    </row>
    <row r="2" spans="2:11" ht="9.75">
      <c r="B2" s="42"/>
    </row>
    <row r="3" spans="2:11" ht="11.25">
      <c r="B3" s="103" t="s">
        <v>100</v>
      </c>
      <c r="C3" s="103"/>
      <c r="D3" s="103"/>
      <c r="E3" s="103"/>
      <c r="F3" s="103"/>
      <c r="G3" s="103"/>
      <c r="H3" s="103"/>
      <c r="I3" s="103"/>
      <c r="J3" s="103"/>
      <c r="K3" s="103"/>
    </row>
    <row r="4" spans="2:11" ht="11.25">
      <c r="B4" s="104" t="s">
        <v>101</v>
      </c>
      <c r="C4" s="104"/>
      <c r="D4" s="104"/>
      <c r="E4" s="104"/>
      <c r="F4" s="104"/>
      <c r="G4" s="104"/>
      <c r="H4" s="104"/>
      <c r="I4" s="104"/>
      <c r="J4" s="104"/>
      <c r="K4" s="104"/>
    </row>
    <row r="5" spans="2:11">
      <c r="B5" s="105" t="s">
        <v>102</v>
      </c>
      <c r="C5" s="105"/>
      <c r="D5" s="105"/>
      <c r="E5" s="105"/>
      <c r="F5" s="105"/>
      <c r="G5" s="105"/>
      <c r="H5" s="105"/>
      <c r="I5" s="105"/>
      <c r="J5" s="105"/>
      <c r="K5" s="105"/>
    </row>
    <row r="6" spans="2:11" ht="9.75">
      <c r="B6" s="43" t="s">
        <v>103</v>
      </c>
      <c r="C6" s="83" t="s">
        <v>104</v>
      </c>
      <c r="D6" s="83"/>
      <c r="E6" s="83"/>
      <c r="F6" s="83"/>
      <c r="G6" s="83"/>
      <c r="H6" s="83"/>
      <c r="I6" s="83"/>
      <c r="J6" s="83"/>
      <c r="K6" s="83"/>
    </row>
    <row r="7" spans="2:11" ht="9.75">
      <c r="B7" s="43" t="s">
        <v>105</v>
      </c>
      <c r="C7" s="83" t="s">
        <v>106</v>
      </c>
      <c r="D7" s="83"/>
      <c r="E7" s="83"/>
      <c r="F7" s="83"/>
      <c r="G7" s="83"/>
      <c r="H7" s="83"/>
      <c r="I7" s="83"/>
      <c r="J7" s="83"/>
      <c r="K7" s="83"/>
    </row>
    <row r="8" spans="2:11" ht="9.75">
      <c r="B8" s="43" t="s">
        <v>6</v>
      </c>
      <c r="C8" s="83" t="s">
        <v>107</v>
      </c>
      <c r="D8" s="83"/>
      <c r="E8" s="83"/>
      <c r="F8" s="83"/>
      <c r="G8" s="83"/>
      <c r="H8" s="83"/>
      <c r="I8" s="83"/>
      <c r="J8" s="83"/>
      <c r="K8" s="83"/>
    </row>
    <row r="9" spans="2:11" ht="12.75" customHeight="1">
      <c r="B9" s="43" t="s">
        <v>7</v>
      </c>
      <c r="C9" s="83" t="s">
        <v>108</v>
      </c>
      <c r="D9" s="83"/>
      <c r="E9" s="83"/>
      <c r="F9" s="83"/>
      <c r="G9" s="83"/>
      <c r="H9" s="83"/>
      <c r="I9" s="83"/>
      <c r="J9" s="83"/>
      <c r="K9" s="83"/>
    </row>
    <row r="10" spans="2:11" ht="23.25" customHeight="1">
      <c r="B10" s="43" t="s">
        <v>8</v>
      </c>
      <c r="C10" s="83" t="s">
        <v>109</v>
      </c>
      <c r="D10" s="83"/>
      <c r="E10" s="83"/>
      <c r="F10" s="83"/>
      <c r="G10" s="83"/>
      <c r="H10" s="83"/>
      <c r="I10" s="83"/>
      <c r="J10" s="83"/>
      <c r="K10" s="83"/>
    </row>
    <row r="11" spans="2:11" ht="20.25" customHeight="1">
      <c r="B11" s="43" t="s">
        <v>9</v>
      </c>
      <c r="C11" s="83" t="s">
        <v>110</v>
      </c>
      <c r="D11" s="83"/>
      <c r="E11" s="83"/>
      <c r="F11" s="83"/>
      <c r="G11" s="83"/>
      <c r="H11" s="83"/>
      <c r="I11" s="83"/>
      <c r="J11" s="83"/>
      <c r="K11" s="83"/>
    </row>
    <row r="12" spans="2:11" ht="20.25" customHeight="1">
      <c r="B12" s="43" t="s">
        <v>10</v>
      </c>
      <c r="C12" s="83" t="s">
        <v>111</v>
      </c>
      <c r="D12" s="83"/>
      <c r="E12" s="83"/>
      <c r="F12" s="83"/>
      <c r="G12" s="83"/>
      <c r="H12" s="83"/>
      <c r="I12" s="83"/>
      <c r="J12" s="83"/>
      <c r="K12" s="83"/>
    </row>
    <row r="13" spans="2:11" ht="20.25" customHeight="1">
      <c r="B13" s="43" t="s">
        <v>11</v>
      </c>
      <c r="C13" s="83" t="s">
        <v>112</v>
      </c>
      <c r="D13" s="83"/>
      <c r="E13" s="83"/>
      <c r="F13" s="83"/>
      <c r="G13" s="83"/>
      <c r="H13" s="83"/>
      <c r="I13" s="83"/>
      <c r="J13" s="83"/>
      <c r="K13" s="83"/>
    </row>
    <row r="14" spans="2:11" ht="12.75" customHeight="1">
      <c r="B14" s="43" t="s">
        <v>12</v>
      </c>
      <c r="C14" s="83" t="s">
        <v>113</v>
      </c>
      <c r="D14" s="83"/>
      <c r="E14" s="83"/>
      <c r="F14" s="83"/>
      <c r="G14" s="83"/>
      <c r="H14" s="83"/>
      <c r="I14" s="83"/>
      <c r="J14" s="83"/>
      <c r="K14" s="83"/>
    </row>
    <row r="15" spans="2:11" ht="12" customHeight="1">
      <c r="B15" s="100" t="s">
        <v>13</v>
      </c>
      <c r="C15" s="101"/>
      <c r="D15" s="101"/>
      <c r="E15" s="101"/>
      <c r="F15" s="101"/>
      <c r="G15" s="101"/>
      <c r="H15" s="101"/>
      <c r="I15" s="101"/>
      <c r="J15" s="101"/>
      <c r="K15" s="102"/>
    </row>
    <row r="16" spans="2:11" ht="32.25" customHeight="1">
      <c r="B16" s="84" t="s">
        <v>114</v>
      </c>
      <c r="C16" s="83" t="s">
        <v>115</v>
      </c>
      <c r="D16" s="83"/>
      <c r="E16" s="83"/>
      <c r="F16" s="83"/>
      <c r="G16" s="83"/>
      <c r="H16" s="83"/>
      <c r="I16" s="83"/>
      <c r="J16" s="83"/>
      <c r="K16" s="83"/>
    </row>
    <row r="17" spans="2:11" ht="30" customHeight="1">
      <c r="B17" s="84"/>
      <c r="C17" s="83" t="s">
        <v>116</v>
      </c>
      <c r="D17" s="83"/>
      <c r="E17" s="83"/>
      <c r="F17" s="83"/>
      <c r="G17" s="83"/>
      <c r="H17" s="83"/>
      <c r="I17" s="83"/>
      <c r="J17" s="83"/>
      <c r="K17" s="83"/>
    </row>
    <row r="18" spans="2:11" ht="29.25" customHeight="1">
      <c r="B18" s="44" t="s">
        <v>117</v>
      </c>
      <c r="C18" s="83" t="s">
        <v>118</v>
      </c>
      <c r="D18" s="83"/>
      <c r="E18" s="83"/>
      <c r="F18" s="83"/>
      <c r="G18" s="83"/>
      <c r="H18" s="83"/>
      <c r="I18" s="83"/>
      <c r="J18" s="83"/>
      <c r="K18" s="83"/>
    </row>
    <row r="19" spans="2:11" ht="12" customHeight="1">
      <c r="B19" s="80" t="s">
        <v>119</v>
      </c>
      <c r="C19" s="81"/>
      <c r="D19" s="81"/>
      <c r="E19" s="81"/>
      <c r="F19" s="81"/>
      <c r="G19" s="81"/>
      <c r="H19" s="81"/>
      <c r="I19" s="81"/>
      <c r="J19" s="81"/>
      <c r="K19" s="81"/>
    </row>
    <row r="20" spans="2:11" ht="21" customHeight="1">
      <c r="B20" s="84" t="s">
        <v>120</v>
      </c>
      <c r="C20" s="83" t="s">
        <v>121</v>
      </c>
      <c r="D20" s="83"/>
      <c r="E20" s="83"/>
      <c r="F20" s="83"/>
      <c r="G20" s="83"/>
      <c r="H20" s="83"/>
      <c r="I20" s="83"/>
      <c r="J20" s="83"/>
      <c r="K20" s="83"/>
    </row>
    <row r="21" spans="2:11" ht="12.75" customHeight="1">
      <c r="B21" s="84"/>
      <c r="C21" s="83" t="s">
        <v>122</v>
      </c>
      <c r="D21" s="83"/>
      <c r="E21" s="83"/>
      <c r="F21" s="83"/>
      <c r="G21" s="83"/>
      <c r="H21" s="83"/>
      <c r="I21" s="83"/>
      <c r="J21" s="83"/>
      <c r="K21" s="83"/>
    </row>
    <row r="22" spans="2:11">
      <c r="B22" s="98" t="s">
        <v>123</v>
      </c>
      <c r="C22" s="98"/>
      <c r="D22" s="98"/>
      <c r="E22" s="98"/>
      <c r="F22" s="98"/>
      <c r="G22" s="98"/>
      <c r="H22" s="98"/>
      <c r="I22" s="98"/>
      <c r="J22" s="98"/>
      <c r="K22" s="98"/>
    </row>
    <row r="23" spans="2:11" ht="21" customHeight="1">
      <c r="B23" s="43" t="s">
        <v>124</v>
      </c>
      <c r="C23" s="83" t="s">
        <v>125</v>
      </c>
      <c r="D23" s="83"/>
      <c r="E23" s="83"/>
      <c r="F23" s="83"/>
      <c r="G23" s="83"/>
      <c r="H23" s="83"/>
      <c r="I23" s="83"/>
      <c r="J23" s="83"/>
      <c r="K23" s="83"/>
    </row>
    <row r="24" spans="2:11" ht="22.5" customHeight="1">
      <c r="B24" s="43" t="s">
        <v>126</v>
      </c>
      <c r="C24" s="83" t="s">
        <v>127</v>
      </c>
      <c r="D24" s="83"/>
      <c r="E24" s="83"/>
      <c r="F24" s="83"/>
      <c r="G24" s="83"/>
      <c r="H24" s="83"/>
      <c r="I24" s="83"/>
      <c r="J24" s="83"/>
      <c r="K24" s="83"/>
    </row>
    <row r="25" spans="2:11" ht="9.75">
      <c r="B25" s="43" t="s">
        <v>128</v>
      </c>
      <c r="C25" s="83" t="s">
        <v>129</v>
      </c>
      <c r="D25" s="83"/>
      <c r="E25" s="83"/>
      <c r="F25" s="83"/>
      <c r="G25" s="83"/>
      <c r="H25" s="83"/>
      <c r="I25" s="83"/>
      <c r="J25" s="83"/>
      <c r="K25" s="83"/>
    </row>
    <row r="26" spans="2:11" ht="45" customHeight="1">
      <c r="B26" s="43" t="s">
        <v>130</v>
      </c>
      <c r="C26" s="83" t="s">
        <v>131</v>
      </c>
      <c r="D26" s="83"/>
      <c r="E26" s="83"/>
      <c r="F26" s="83"/>
      <c r="G26" s="83"/>
      <c r="H26" s="83"/>
      <c r="I26" s="83"/>
      <c r="J26" s="83"/>
      <c r="K26" s="83"/>
    </row>
    <row r="27" spans="2:11" ht="22.5" customHeight="1">
      <c r="B27" s="43" t="s">
        <v>132</v>
      </c>
      <c r="C27" s="83" t="s">
        <v>133</v>
      </c>
      <c r="D27" s="83"/>
      <c r="E27" s="83"/>
      <c r="F27" s="83"/>
      <c r="G27" s="83"/>
      <c r="H27" s="83"/>
      <c r="I27" s="83"/>
      <c r="J27" s="83"/>
      <c r="K27" s="83"/>
    </row>
    <row r="28" spans="2:11" ht="9.75">
      <c r="B28" s="99" t="s">
        <v>134</v>
      </c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27" customHeight="1">
      <c r="B29" s="43" t="s">
        <v>135</v>
      </c>
      <c r="C29" s="83" t="s">
        <v>136</v>
      </c>
      <c r="D29" s="83"/>
      <c r="E29" s="83"/>
      <c r="F29" s="83"/>
      <c r="G29" s="83"/>
      <c r="H29" s="83"/>
      <c r="I29" s="83"/>
      <c r="J29" s="83"/>
      <c r="K29" s="83"/>
    </row>
    <row r="30" spans="2:11">
      <c r="B30" s="98" t="s">
        <v>47</v>
      </c>
      <c r="C30" s="98"/>
      <c r="D30" s="98"/>
      <c r="E30" s="98"/>
      <c r="F30" s="98"/>
      <c r="G30" s="98"/>
      <c r="H30" s="98"/>
      <c r="I30" s="98"/>
      <c r="J30" s="98"/>
      <c r="K30" s="98"/>
    </row>
    <row r="31" spans="2:11" ht="30.75" customHeight="1">
      <c r="B31" s="43" t="s">
        <v>137</v>
      </c>
      <c r="C31" s="83" t="s">
        <v>138</v>
      </c>
      <c r="D31" s="83"/>
      <c r="E31" s="83"/>
      <c r="F31" s="83"/>
      <c r="G31" s="83"/>
      <c r="H31" s="83"/>
      <c r="I31" s="83"/>
      <c r="J31" s="83"/>
      <c r="K31" s="83"/>
    </row>
    <row r="32" spans="2:11" ht="20.25" customHeight="1">
      <c r="B32" s="43" t="s">
        <v>139</v>
      </c>
      <c r="C32" s="83" t="s">
        <v>140</v>
      </c>
      <c r="D32" s="83"/>
      <c r="E32" s="83"/>
      <c r="F32" s="83"/>
      <c r="G32" s="83"/>
      <c r="H32" s="83"/>
      <c r="I32" s="83"/>
      <c r="J32" s="83"/>
      <c r="K32" s="83"/>
    </row>
    <row r="33" spans="2:11" ht="27.75" customHeight="1">
      <c r="B33" s="43" t="s">
        <v>141</v>
      </c>
      <c r="C33" s="83" t="s">
        <v>142</v>
      </c>
      <c r="D33" s="83"/>
      <c r="E33" s="83"/>
      <c r="F33" s="83"/>
      <c r="G33" s="83"/>
      <c r="H33" s="83"/>
      <c r="I33" s="83"/>
      <c r="J33" s="83"/>
      <c r="K33" s="83"/>
    </row>
    <row r="34" spans="2:11" ht="31.5" customHeight="1">
      <c r="B34" s="43" t="s">
        <v>143</v>
      </c>
      <c r="C34" s="83" t="s">
        <v>144</v>
      </c>
      <c r="D34" s="83"/>
      <c r="E34" s="83"/>
      <c r="F34" s="83"/>
      <c r="G34" s="83"/>
      <c r="H34" s="83"/>
      <c r="I34" s="83"/>
      <c r="J34" s="83"/>
      <c r="K34" s="83"/>
    </row>
    <row r="35" spans="2:11" ht="12.75" customHeight="1">
      <c r="B35" s="98" t="s">
        <v>145</v>
      </c>
      <c r="C35" s="98"/>
      <c r="D35" s="98"/>
      <c r="E35" s="98"/>
      <c r="F35" s="98"/>
      <c r="G35" s="98"/>
      <c r="H35" s="98"/>
      <c r="I35" s="98"/>
      <c r="J35" s="98"/>
      <c r="K35" s="98"/>
    </row>
    <row r="36" spans="2:11" ht="33" customHeight="1">
      <c r="B36" s="43" t="s">
        <v>146</v>
      </c>
      <c r="C36" s="83" t="s">
        <v>147</v>
      </c>
      <c r="D36" s="83"/>
      <c r="E36" s="83"/>
      <c r="F36" s="83"/>
      <c r="G36" s="83"/>
      <c r="H36" s="83"/>
      <c r="I36" s="83"/>
      <c r="J36" s="83"/>
      <c r="K36" s="83"/>
    </row>
    <row r="37" spans="2:11" ht="39" customHeight="1">
      <c r="B37" s="43" t="s">
        <v>148</v>
      </c>
      <c r="C37" s="83" t="s">
        <v>149</v>
      </c>
      <c r="D37" s="83"/>
      <c r="E37" s="83"/>
      <c r="F37" s="83"/>
      <c r="G37" s="83"/>
      <c r="H37" s="83"/>
      <c r="I37" s="83"/>
      <c r="J37" s="83"/>
      <c r="K37" s="83"/>
    </row>
    <row r="38" spans="2:11" ht="30" customHeight="1">
      <c r="B38" s="43" t="s">
        <v>13</v>
      </c>
      <c r="C38" s="83" t="s">
        <v>150</v>
      </c>
      <c r="D38" s="83"/>
      <c r="E38" s="83"/>
      <c r="F38" s="83"/>
      <c r="G38" s="83"/>
      <c r="H38" s="83"/>
      <c r="I38" s="83"/>
      <c r="J38" s="83"/>
      <c r="K38" s="83"/>
    </row>
    <row r="39" spans="2:11">
      <c r="B39" s="91" t="s">
        <v>151</v>
      </c>
      <c r="C39" s="92"/>
      <c r="D39" s="92"/>
      <c r="E39" s="92"/>
      <c r="F39" s="92"/>
      <c r="G39" s="92"/>
      <c r="H39" s="92"/>
      <c r="I39" s="92"/>
      <c r="J39" s="92"/>
      <c r="K39" s="93"/>
    </row>
    <row r="40" spans="2:11" ht="51" customHeight="1">
      <c r="B40" s="43" t="s">
        <v>152</v>
      </c>
      <c r="C40" s="83" t="s">
        <v>153</v>
      </c>
      <c r="D40" s="83"/>
      <c r="E40" s="83"/>
      <c r="F40" s="83"/>
      <c r="G40" s="83"/>
      <c r="H40" s="83"/>
      <c r="I40" s="83"/>
      <c r="J40" s="83"/>
      <c r="K40" s="83"/>
    </row>
    <row r="41" spans="2:11" ht="51" customHeight="1">
      <c r="B41" s="43" t="s">
        <v>154</v>
      </c>
      <c r="C41" s="83" t="s">
        <v>155</v>
      </c>
      <c r="D41" s="83"/>
      <c r="E41" s="83"/>
      <c r="F41" s="83"/>
      <c r="G41" s="83"/>
      <c r="H41" s="83"/>
      <c r="I41" s="83"/>
      <c r="J41" s="83"/>
      <c r="K41" s="83"/>
    </row>
    <row r="42" spans="2:11" ht="39" customHeight="1">
      <c r="B42" s="43" t="s">
        <v>156</v>
      </c>
      <c r="C42" s="83" t="s">
        <v>157</v>
      </c>
      <c r="D42" s="83"/>
      <c r="E42" s="83"/>
      <c r="F42" s="83"/>
      <c r="G42" s="83"/>
      <c r="H42" s="83"/>
      <c r="I42" s="83"/>
      <c r="J42" s="83"/>
      <c r="K42" s="83"/>
    </row>
    <row r="43" spans="2:11" ht="38.25" customHeight="1">
      <c r="B43" s="43" t="s">
        <v>158</v>
      </c>
      <c r="C43" s="83" t="s">
        <v>159</v>
      </c>
      <c r="D43" s="83"/>
      <c r="E43" s="83"/>
      <c r="F43" s="83"/>
      <c r="G43" s="83"/>
      <c r="H43" s="83"/>
      <c r="I43" s="83"/>
      <c r="J43" s="83"/>
      <c r="K43" s="83"/>
    </row>
    <row r="44" spans="2:11" ht="48" customHeight="1">
      <c r="B44" s="43" t="s">
        <v>160</v>
      </c>
      <c r="C44" s="83" t="s">
        <v>161</v>
      </c>
      <c r="D44" s="83"/>
      <c r="E44" s="83"/>
      <c r="F44" s="83"/>
      <c r="G44" s="83"/>
      <c r="H44" s="83"/>
      <c r="I44" s="83"/>
      <c r="J44" s="83"/>
      <c r="K44" s="83"/>
    </row>
    <row r="45" spans="2:11" ht="9.75">
      <c r="B45" s="43" t="s">
        <v>162</v>
      </c>
      <c r="C45" s="83" t="s">
        <v>163</v>
      </c>
      <c r="D45" s="83"/>
      <c r="E45" s="83"/>
      <c r="F45" s="83"/>
      <c r="G45" s="83"/>
      <c r="H45" s="83"/>
      <c r="I45" s="83"/>
      <c r="J45" s="83"/>
      <c r="K45" s="83"/>
    </row>
    <row r="46" spans="2:11">
      <c r="B46" s="98" t="s">
        <v>164</v>
      </c>
      <c r="C46" s="98"/>
      <c r="D46" s="98"/>
      <c r="E46" s="98"/>
      <c r="F46" s="98"/>
      <c r="G46" s="98"/>
      <c r="H46" s="98"/>
      <c r="I46" s="98"/>
      <c r="J46" s="98"/>
      <c r="K46" s="98"/>
    </row>
    <row r="47" spans="2:11" ht="32.25" customHeight="1">
      <c r="B47" s="43" t="s">
        <v>164</v>
      </c>
      <c r="C47" s="83" t="s">
        <v>165</v>
      </c>
      <c r="D47" s="83"/>
      <c r="E47" s="83"/>
      <c r="F47" s="83"/>
      <c r="G47" s="83"/>
      <c r="H47" s="83"/>
      <c r="I47" s="83"/>
      <c r="J47" s="83"/>
      <c r="K47" s="83"/>
    </row>
    <row r="48" spans="2:11">
      <c r="B48" s="98" t="s">
        <v>166</v>
      </c>
      <c r="C48" s="98"/>
      <c r="D48" s="98"/>
      <c r="E48" s="98"/>
      <c r="F48" s="98"/>
      <c r="G48" s="98"/>
      <c r="H48" s="98"/>
      <c r="I48" s="98"/>
      <c r="J48" s="98"/>
      <c r="K48" s="98"/>
    </row>
    <row r="49" spans="2:11" ht="36.75" customHeight="1">
      <c r="B49" s="43" t="s">
        <v>167</v>
      </c>
      <c r="C49" s="83" t="s">
        <v>168</v>
      </c>
      <c r="D49" s="83"/>
      <c r="E49" s="83"/>
      <c r="F49" s="83"/>
      <c r="G49" s="83"/>
      <c r="H49" s="83"/>
      <c r="I49" s="83"/>
      <c r="J49" s="83"/>
      <c r="K49" s="83"/>
    </row>
    <row r="50" spans="2:11" ht="17.25" customHeight="1">
      <c r="B50" s="43" t="s">
        <v>169</v>
      </c>
      <c r="C50" s="88" t="s">
        <v>170</v>
      </c>
      <c r="D50" s="89"/>
      <c r="E50" s="89"/>
      <c r="F50" s="89"/>
      <c r="G50" s="89"/>
      <c r="H50" s="89"/>
      <c r="I50" s="89"/>
      <c r="J50" s="89"/>
      <c r="K50" s="90"/>
    </row>
    <row r="51" spans="2:11" ht="15" customHeight="1">
      <c r="B51" s="45" t="s">
        <v>171</v>
      </c>
      <c r="C51" s="88" t="s">
        <v>172</v>
      </c>
      <c r="D51" s="89"/>
      <c r="E51" s="89"/>
      <c r="F51" s="89"/>
      <c r="G51" s="89"/>
      <c r="H51" s="89"/>
      <c r="I51" s="89"/>
      <c r="J51" s="89"/>
      <c r="K51" s="90"/>
    </row>
    <row r="52" spans="2:11" ht="9.75">
      <c r="B52" s="45" t="s">
        <v>173</v>
      </c>
      <c r="C52" s="88" t="s">
        <v>174</v>
      </c>
      <c r="D52" s="89"/>
      <c r="E52" s="89"/>
      <c r="F52" s="89"/>
      <c r="G52" s="89"/>
      <c r="H52" s="89"/>
      <c r="I52" s="89"/>
      <c r="J52" s="89"/>
      <c r="K52" s="90"/>
    </row>
    <row r="53" spans="2:11" ht="24.75" customHeight="1">
      <c r="B53" s="43" t="s">
        <v>175</v>
      </c>
      <c r="C53" s="88" t="s">
        <v>176</v>
      </c>
      <c r="D53" s="89"/>
      <c r="E53" s="89"/>
      <c r="F53" s="89"/>
      <c r="G53" s="89"/>
      <c r="H53" s="89"/>
      <c r="I53" s="89"/>
      <c r="J53" s="89"/>
      <c r="K53" s="90"/>
    </row>
    <row r="54" spans="2:11" ht="12.75" customHeight="1">
      <c r="B54" s="91" t="s">
        <v>177</v>
      </c>
      <c r="C54" s="92"/>
      <c r="D54" s="92"/>
      <c r="E54" s="92"/>
      <c r="F54" s="92"/>
      <c r="G54" s="92"/>
      <c r="H54" s="92"/>
      <c r="I54" s="92"/>
      <c r="J54" s="92"/>
      <c r="K54" s="93"/>
    </row>
    <row r="55" spans="2:11" ht="56.25" customHeight="1">
      <c r="B55" s="43" t="s">
        <v>178</v>
      </c>
      <c r="C55" s="88" t="s">
        <v>179</v>
      </c>
      <c r="D55" s="89"/>
      <c r="E55" s="89"/>
      <c r="F55" s="89"/>
      <c r="G55" s="89"/>
      <c r="H55" s="89"/>
      <c r="I55" s="89"/>
      <c r="J55" s="89"/>
      <c r="K55" s="90"/>
    </row>
    <row r="56" spans="2:11" ht="9.75">
      <c r="B56" s="46"/>
      <c r="C56" s="46"/>
    </row>
    <row r="57" spans="2:11">
      <c r="B57" s="94" t="s">
        <v>180</v>
      </c>
      <c r="C57" s="94"/>
      <c r="D57" s="94"/>
      <c r="E57" s="94"/>
      <c r="F57" s="94"/>
      <c r="G57" s="94"/>
      <c r="H57" s="94"/>
      <c r="I57" s="94"/>
      <c r="J57" s="94"/>
      <c r="K57" s="94"/>
    </row>
    <row r="58" spans="2:11" ht="12.75" customHeight="1">
      <c r="B58" s="95" t="s">
        <v>181</v>
      </c>
      <c r="C58" s="96"/>
      <c r="D58" s="96"/>
      <c r="E58" s="96"/>
      <c r="F58" s="96"/>
      <c r="G58" s="96"/>
      <c r="H58" s="96"/>
      <c r="I58" s="96"/>
      <c r="J58" s="96"/>
      <c r="K58" s="97"/>
    </row>
    <row r="59" spans="2:11" ht="37.5" customHeight="1">
      <c r="B59" s="83" t="s">
        <v>182</v>
      </c>
      <c r="C59" s="83"/>
      <c r="D59" s="83"/>
      <c r="E59" s="83"/>
      <c r="F59" s="83"/>
      <c r="G59" s="83"/>
      <c r="H59" s="83"/>
      <c r="I59" s="83"/>
      <c r="J59" s="83"/>
      <c r="K59" s="83"/>
    </row>
    <row r="60" spans="2:11">
      <c r="B60" s="85" t="s">
        <v>97</v>
      </c>
      <c r="C60" s="86"/>
      <c r="D60" s="86"/>
      <c r="E60" s="86"/>
      <c r="F60" s="86"/>
      <c r="G60" s="86"/>
      <c r="H60" s="86"/>
      <c r="I60" s="86"/>
      <c r="J60" s="86"/>
      <c r="K60" s="87"/>
    </row>
    <row r="61" spans="2:11" ht="14.25" customHeight="1">
      <c r="B61" s="83" t="s">
        <v>183</v>
      </c>
      <c r="C61" s="83"/>
      <c r="D61" s="83"/>
      <c r="E61" s="83"/>
      <c r="F61" s="83"/>
      <c r="G61" s="83"/>
      <c r="H61" s="83"/>
      <c r="I61" s="83"/>
      <c r="J61" s="83"/>
      <c r="K61" s="83"/>
    </row>
    <row r="62" spans="2:11">
      <c r="B62" s="80" t="s">
        <v>98</v>
      </c>
      <c r="C62" s="81"/>
      <c r="D62" s="81"/>
      <c r="E62" s="81"/>
      <c r="F62" s="81"/>
      <c r="G62" s="81"/>
      <c r="H62" s="81"/>
      <c r="I62" s="81"/>
      <c r="J62" s="81"/>
      <c r="K62" s="82"/>
    </row>
    <row r="63" spans="2:11" ht="15.75" customHeight="1">
      <c r="B63" s="83" t="s">
        <v>184</v>
      </c>
      <c r="C63" s="83"/>
      <c r="D63" s="83"/>
      <c r="E63" s="83"/>
      <c r="F63" s="83"/>
      <c r="G63" s="83"/>
      <c r="H63" s="83"/>
      <c r="I63" s="83"/>
      <c r="J63" s="83"/>
      <c r="K63" s="83"/>
    </row>
    <row r="64" spans="2:11">
      <c r="B64" s="80" t="s">
        <v>99</v>
      </c>
      <c r="C64" s="81"/>
      <c r="D64" s="81"/>
      <c r="E64" s="81"/>
      <c r="F64" s="81"/>
      <c r="G64" s="81"/>
      <c r="H64" s="81"/>
      <c r="I64" s="81"/>
      <c r="J64" s="81"/>
      <c r="K64" s="82"/>
    </row>
    <row r="65" spans="2:11" ht="22.5" customHeight="1">
      <c r="B65" s="83" t="s">
        <v>185</v>
      </c>
      <c r="C65" s="83"/>
      <c r="D65" s="83"/>
      <c r="E65" s="83"/>
      <c r="F65" s="83"/>
      <c r="G65" s="83"/>
      <c r="H65" s="83"/>
      <c r="I65" s="83"/>
      <c r="J65" s="83"/>
      <c r="K65" s="83"/>
    </row>
    <row r="66" spans="2:11" ht="18" customHeight="1">
      <c r="B66" s="83" t="s">
        <v>186</v>
      </c>
      <c r="C66" s="83"/>
      <c r="D66" s="83"/>
      <c r="E66" s="83"/>
      <c r="F66" s="83"/>
      <c r="G66" s="83"/>
      <c r="H66" s="83"/>
      <c r="I66" s="83"/>
      <c r="J66" s="83"/>
      <c r="K66" s="83"/>
    </row>
    <row r="67" spans="2:11" ht="9.75">
      <c r="B67" s="46"/>
    </row>
    <row r="68" spans="2:11" ht="9.75">
      <c r="B68" s="46"/>
    </row>
    <row r="69" spans="2:11" ht="9.75">
      <c r="B69" s="46"/>
      <c r="D69" s="1"/>
      <c r="E69" s="1"/>
      <c r="F69" s="1"/>
      <c r="G69" s="1"/>
      <c r="H69" s="1"/>
      <c r="I69" s="1"/>
      <c r="J69" s="1"/>
      <c r="K69" s="1"/>
    </row>
    <row r="70" spans="2:11" ht="9.75">
      <c r="B70" s="46"/>
      <c r="D70" s="1"/>
      <c r="E70" s="1"/>
      <c r="F70" s="1"/>
      <c r="G70" s="1"/>
      <c r="H70" s="1"/>
      <c r="I70" s="1"/>
      <c r="J70" s="1"/>
      <c r="K70" s="1"/>
    </row>
    <row r="71" spans="2:11" ht="9.75">
      <c r="B71" s="46"/>
      <c r="D71" s="1"/>
      <c r="E71" s="1"/>
      <c r="F71" s="1"/>
      <c r="G71" s="1"/>
      <c r="H71" s="1"/>
      <c r="I71" s="1"/>
      <c r="J71" s="1"/>
      <c r="K71" s="1"/>
    </row>
    <row r="72" spans="2:11" ht="9.75">
      <c r="B72" s="46"/>
      <c r="D72" s="1"/>
      <c r="E72" s="1"/>
      <c r="F72" s="1"/>
      <c r="G72" s="1"/>
      <c r="H72" s="1"/>
      <c r="I72" s="1"/>
      <c r="J72" s="1"/>
      <c r="K72" s="1"/>
    </row>
    <row r="73" spans="2:11" ht="9.75">
      <c r="B73" s="46"/>
      <c r="D73" s="1"/>
      <c r="E73" s="1"/>
      <c r="F73" s="1"/>
      <c r="G73" s="1"/>
      <c r="H73" s="1"/>
      <c r="I73" s="1"/>
      <c r="J73" s="1"/>
      <c r="K73" s="1"/>
    </row>
    <row r="79" spans="2:11">
      <c r="D79" s="1"/>
      <c r="E79" s="1"/>
      <c r="F79" s="1"/>
      <c r="G79" s="1"/>
      <c r="H79" s="1"/>
      <c r="I79" s="1"/>
      <c r="J79" s="1"/>
      <c r="K79" s="1"/>
    </row>
    <row r="80" spans="2:11">
      <c r="D80" s="1"/>
      <c r="E80" s="1"/>
      <c r="F80" s="1"/>
      <c r="G80" s="1"/>
      <c r="H80" s="1"/>
      <c r="I80" s="1"/>
      <c r="J80" s="1"/>
      <c r="K80" s="1"/>
    </row>
    <row r="81" s="1" customFormat="1"/>
    <row r="92" s="1" customFormat="1"/>
    <row r="169" s="1" customFormat="1"/>
    <row r="171" s="1" customFormat="1"/>
    <row r="173" s="1" customFormat="1"/>
    <row r="175" s="1" customFormat="1"/>
    <row r="179" s="1" customFormat="1"/>
    <row r="212" s="1" customFormat="1"/>
    <row r="213" s="1" customFormat="1"/>
    <row r="214" s="1" customFormat="1"/>
    <row r="254" s="1" customFormat="1"/>
    <row r="259" s="1" customFormat="1"/>
    <row r="263" s="1" customFormat="1"/>
    <row r="265" s="1" customFormat="1"/>
    <row r="321" s="1" customFormat="1"/>
    <row r="323" s="1" customFormat="1"/>
    <row r="339" s="1" customFormat="1"/>
    <row r="340" s="1" customFormat="1"/>
    <row r="371" s="1" customFormat="1"/>
    <row r="428" s="1" customFormat="1"/>
    <row r="429" s="1" customFormat="1"/>
    <row r="430" s="1" customFormat="1"/>
    <row r="476" s="1" customFormat="1"/>
    <row r="492" s="1" customFormat="1"/>
  </sheetData>
  <mergeCells count="65">
    <mergeCell ref="B3:K3"/>
    <mergeCell ref="B4:K4"/>
    <mergeCell ref="B5:K5"/>
    <mergeCell ref="C6:K6"/>
    <mergeCell ref="C7:K7"/>
    <mergeCell ref="C8:K8"/>
    <mergeCell ref="C9:K9"/>
    <mergeCell ref="C10:K10"/>
    <mergeCell ref="C11:K11"/>
    <mergeCell ref="C12:K12"/>
    <mergeCell ref="C13:K13"/>
    <mergeCell ref="C14:K14"/>
    <mergeCell ref="B15:K15"/>
    <mergeCell ref="C16:K16"/>
    <mergeCell ref="C17:K17"/>
    <mergeCell ref="C18:K18"/>
    <mergeCell ref="B19:K19"/>
    <mergeCell ref="C20:K20"/>
    <mergeCell ref="C21:K21"/>
    <mergeCell ref="B22:K22"/>
    <mergeCell ref="C23:K23"/>
    <mergeCell ref="C24:K24"/>
    <mergeCell ref="C25:K25"/>
    <mergeCell ref="C26:K26"/>
    <mergeCell ref="C27:K27"/>
    <mergeCell ref="B28:K28"/>
    <mergeCell ref="C29:K29"/>
    <mergeCell ref="B30:K30"/>
    <mergeCell ref="C31:K31"/>
    <mergeCell ref="C32:K32"/>
    <mergeCell ref="C33:K33"/>
    <mergeCell ref="C34:K34"/>
    <mergeCell ref="B35:K35"/>
    <mergeCell ref="C36:K36"/>
    <mergeCell ref="C37:K37"/>
    <mergeCell ref="C38:K38"/>
    <mergeCell ref="B39:K39"/>
    <mergeCell ref="C40:K40"/>
    <mergeCell ref="C41:K41"/>
    <mergeCell ref="C42:K42"/>
    <mergeCell ref="C49:K49"/>
    <mergeCell ref="C50:K50"/>
    <mergeCell ref="C51:K51"/>
    <mergeCell ref="C52:K52"/>
    <mergeCell ref="C43:K43"/>
    <mergeCell ref="C44:K44"/>
    <mergeCell ref="C45:K45"/>
    <mergeCell ref="B46:K46"/>
    <mergeCell ref="C47:K47"/>
    <mergeCell ref="B64:K64"/>
    <mergeCell ref="B65:K65"/>
    <mergeCell ref="B66:K66"/>
    <mergeCell ref="B16:B17"/>
    <mergeCell ref="B20:B21"/>
    <mergeCell ref="B59:K59"/>
    <mergeCell ref="B60:K60"/>
    <mergeCell ref="B61:K61"/>
    <mergeCell ref="B62:K62"/>
    <mergeCell ref="B63:K63"/>
    <mergeCell ref="C53:K53"/>
    <mergeCell ref="B54:K54"/>
    <mergeCell ref="C55:K55"/>
    <mergeCell ref="B57:K57"/>
    <mergeCell ref="B58:K58"/>
    <mergeCell ref="B48:K4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94"/>
  <sheetViews>
    <sheetView zoomScale="160" zoomScaleNormal="160" workbookViewId="0">
      <selection activeCell="L93" sqref="L93"/>
    </sheetView>
  </sheetViews>
  <sheetFormatPr baseColWidth="10" defaultColWidth="11.42578125" defaultRowHeight="9"/>
  <cols>
    <col min="1" max="1" width="1.85546875" style="1" customWidth="1"/>
    <col min="2" max="2" width="14.42578125" style="1" customWidth="1"/>
    <col min="3" max="3" width="11.42578125" style="1"/>
    <col min="4" max="4" width="6.85546875" style="2" customWidth="1"/>
    <col min="5" max="5" width="2.5703125" style="2" customWidth="1"/>
    <col min="6" max="6" width="7.85546875" style="2" customWidth="1"/>
    <col min="7" max="7" width="2.42578125" style="2" customWidth="1"/>
    <col min="8" max="8" width="8.7109375" style="2" customWidth="1"/>
    <col min="9" max="9" width="7.7109375" style="2" customWidth="1"/>
    <col min="10" max="10" width="0.85546875" style="2" hidden="1" customWidth="1"/>
    <col min="11" max="11" width="8" style="2" customWidth="1"/>
    <col min="12" max="12" width="27.85546875" style="3" customWidth="1"/>
    <col min="13" max="13" width="4.28515625" style="1" customWidth="1"/>
    <col min="14" max="14" width="4.85546875" style="1" customWidth="1"/>
    <col min="15" max="15" width="5.140625" style="1" customWidth="1"/>
    <col min="16" max="16384" width="11.42578125" style="1"/>
  </cols>
  <sheetData>
    <row r="1" spans="2:12" ht="8.25" customHeight="1"/>
    <row r="2" spans="2:12" ht="11.25">
      <c r="B2" s="4"/>
    </row>
    <row r="3" spans="2:12" ht="12">
      <c r="B3" s="74" t="s">
        <v>187</v>
      </c>
      <c r="C3" s="75"/>
      <c r="D3" s="75"/>
      <c r="E3" s="75"/>
      <c r="F3" s="75"/>
      <c r="G3" s="75"/>
      <c r="H3" s="75"/>
      <c r="I3" s="75"/>
      <c r="J3" s="75"/>
      <c r="K3" s="76"/>
      <c r="L3" s="12"/>
    </row>
    <row r="4" spans="2:12" ht="23.25" customHeight="1">
      <c r="B4" s="77" t="s">
        <v>1</v>
      </c>
      <c r="C4" s="78"/>
      <c r="D4" s="78"/>
      <c r="E4" s="78"/>
      <c r="F4" s="78"/>
      <c r="G4" s="78"/>
      <c r="H4" s="78"/>
      <c r="I4" s="78"/>
      <c r="J4" s="78"/>
      <c r="K4" s="79"/>
      <c r="L4" s="38" t="s">
        <v>188</v>
      </c>
    </row>
    <row r="5" spans="2:12" ht="12" customHeight="1">
      <c r="B5" s="85" t="s">
        <v>102</v>
      </c>
      <c r="C5" s="86"/>
      <c r="D5" s="86"/>
      <c r="E5" s="86"/>
      <c r="F5" s="86"/>
      <c r="G5" s="86"/>
      <c r="H5" s="86"/>
      <c r="I5" s="86"/>
      <c r="J5" s="86"/>
      <c r="K5" s="87"/>
      <c r="L5" s="12"/>
    </row>
    <row r="6" spans="2:12" ht="11.25">
      <c r="B6" s="66" t="s">
        <v>4</v>
      </c>
      <c r="C6" s="66"/>
      <c r="D6" s="66"/>
      <c r="E6" s="65"/>
      <c r="F6" s="65"/>
      <c r="G6" s="65"/>
      <c r="H6" s="65"/>
      <c r="I6" s="65"/>
      <c r="J6" s="65"/>
      <c r="K6" s="65"/>
      <c r="L6" s="14" t="s">
        <v>189</v>
      </c>
    </row>
    <row r="7" spans="2:12" ht="11.25">
      <c r="B7" s="66" t="s">
        <v>5</v>
      </c>
      <c r="C7" s="66"/>
      <c r="D7" s="66"/>
      <c r="E7" s="65"/>
      <c r="F7" s="65"/>
      <c r="G7" s="65"/>
      <c r="H7" s="65"/>
      <c r="I7" s="65"/>
      <c r="J7" s="65"/>
      <c r="K7" s="65"/>
      <c r="L7" s="15">
        <v>3</v>
      </c>
    </row>
    <row r="8" spans="2:12" ht="11.25">
      <c r="B8" s="66" t="s">
        <v>6</v>
      </c>
      <c r="C8" s="66"/>
      <c r="D8" s="66"/>
      <c r="E8" s="65"/>
      <c r="F8" s="65"/>
      <c r="G8" s="65"/>
      <c r="H8" s="65"/>
      <c r="I8" s="65"/>
      <c r="J8" s="65"/>
      <c r="K8" s="65"/>
      <c r="L8" s="16">
        <v>44090</v>
      </c>
    </row>
    <row r="9" spans="2:12" ht="11.25">
      <c r="B9" s="66" t="s">
        <v>7</v>
      </c>
      <c r="C9" s="66"/>
      <c r="D9" s="66"/>
      <c r="E9" s="65"/>
      <c r="F9" s="65"/>
      <c r="G9" s="65"/>
      <c r="H9" s="65"/>
      <c r="I9" s="65"/>
      <c r="J9" s="65"/>
      <c r="K9" s="65"/>
      <c r="L9" s="14" t="s">
        <v>190</v>
      </c>
    </row>
    <row r="10" spans="2:12" ht="11.25">
      <c r="B10" s="66" t="s">
        <v>8</v>
      </c>
      <c r="C10" s="66"/>
      <c r="D10" s="66"/>
      <c r="E10" s="65"/>
      <c r="F10" s="65"/>
      <c r="G10" s="65"/>
      <c r="H10" s="65"/>
      <c r="I10" s="65"/>
      <c r="J10" s="65"/>
      <c r="K10" s="65"/>
      <c r="L10" s="14" t="s">
        <v>191</v>
      </c>
    </row>
    <row r="11" spans="2:12" ht="11.25">
      <c r="B11" s="66" t="s">
        <v>9</v>
      </c>
      <c r="C11" s="66"/>
      <c r="D11" s="66"/>
      <c r="E11" s="65"/>
      <c r="F11" s="65"/>
      <c r="G11" s="65"/>
      <c r="H11" s="65"/>
      <c r="I11" s="65"/>
      <c r="J11" s="65"/>
      <c r="K11" s="65"/>
      <c r="L11" s="16">
        <v>44431</v>
      </c>
    </row>
    <row r="12" spans="2:12" ht="25.5" customHeight="1">
      <c r="B12" s="66" t="s">
        <v>10</v>
      </c>
      <c r="C12" s="66"/>
      <c r="D12" s="66"/>
      <c r="E12" s="65"/>
      <c r="F12" s="65"/>
      <c r="G12" s="65"/>
      <c r="H12" s="65"/>
      <c r="I12" s="65"/>
      <c r="J12" s="65"/>
      <c r="K12" s="65"/>
      <c r="L12" s="15" t="s">
        <v>192</v>
      </c>
    </row>
    <row r="13" spans="2:12" ht="25.5" customHeight="1">
      <c r="B13" s="66" t="s">
        <v>11</v>
      </c>
      <c r="C13" s="66"/>
      <c r="D13" s="66"/>
      <c r="E13" s="65"/>
      <c r="F13" s="65"/>
      <c r="G13" s="65"/>
      <c r="H13" s="65"/>
      <c r="I13" s="65"/>
      <c r="J13" s="65"/>
      <c r="K13" s="65"/>
      <c r="L13" s="15" t="s">
        <v>193</v>
      </c>
    </row>
    <row r="14" spans="2:12" ht="11.25" customHeight="1">
      <c r="B14" s="66" t="s">
        <v>12</v>
      </c>
      <c r="C14" s="66"/>
      <c r="D14" s="66"/>
      <c r="E14" s="65"/>
      <c r="F14" s="65"/>
      <c r="G14" s="65"/>
      <c r="H14" s="65"/>
      <c r="I14" s="65"/>
      <c r="J14" s="65"/>
      <c r="K14" s="65"/>
      <c r="L14" s="14" t="s">
        <v>194</v>
      </c>
    </row>
    <row r="15" spans="2:12" ht="11.25" customHeight="1">
      <c r="B15" s="66" t="s">
        <v>13</v>
      </c>
      <c r="C15" s="66"/>
      <c r="D15" s="66"/>
      <c r="E15" s="65"/>
      <c r="F15" s="65"/>
      <c r="G15" s="65"/>
      <c r="H15" s="65"/>
      <c r="I15" s="65"/>
      <c r="J15" s="65"/>
      <c r="K15" s="65"/>
      <c r="L15" s="15" t="s">
        <v>195</v>
      </c>
    </row>
    <row r="16" spans="2:12">
      <c r="B16" s="85" t="s">
        <v>119</v>
      </c>
      <c r="C16" s="86"/>
      <c r="D16" s="86"/>
      <c r="E16" s="86"/>
      <c r="F16" s="86"/>
      <c r="G16" s="86"/>
      <c r="H16" s="86"/>
      <c r="I16" s="86"/>
      <c r="J16" s="86"/>
      <c r="K16" s="87"/>
      <c r="L16" s="12"/>
    </row>
    <row r="17" spans="2:12" ht="28.5" customHeight="1">
      <c r="B17" s="71" t="s">
        <v>15</v>
      </c>
      <c r="C17" s="71"/>
      <c r="D17" s="70" t="s">
        <v>16</v>
      </c>
      <c r="E17" s="70"/>
      <c r="F17" s="70" t="s">
        <v>17</v>
      </c>
      <c r="G17" s="70"/>
      <c r="H17" s="6" t="s">
        <v>18</v>
      </c>
      <c r="I17" s="6" t="s">
        <v>19</v>
      </c>
      <c r="J17" s="6"/>
      <c r="K17" s="6" t="s">
        <v>20</v>
      </c>
      <c r="L17" s="12"/>
    </row>
    <row r="18" spans="2:12" ht="10.5">
      <c r="B18" s="66" t="s">
        <v>21</v>
      </c>
      <c r="C18" s="66"/>
      <c r="D18" s="65">
        <v>0.25</v>
      </c>
      <c r="E18" s="65"/>
      <c r="F18" s="67"/>
      <c r="G18" s="67"/>
      <c r="H18" s="8"/>
      <c r="I18" s="65">
        <v>0</v>
      </c>
      <c r="J18" s="65"/>
      <c r="K18" s="7"/>
      <c r="L18" s="17">
        <v>0.25</v>
      </c>
    </row>
    <row r="19" spans="2:12" ht="12" customHeight="1">
      <c r="B19" s="66" t="s">
        <v>22</v>
      </c>
      <c r="C19" s="66"/>
      <c r="D19" s="65">
        <v>0.25</v>
      </c>
      <c r="E19" s="65"/>
      <c r="F19" s="73"/>
      <c r="G19" s="73"/>
      <c r="H19" s="8"/>
      <c r="I19" s="65">
        <v>0</v>
      </c>
      <c r="J19" s="65"/>
      <c r="K19" s="7"/>
      <c r="L19" s="17">
        <v>0.25</v>
      </c>
    </row>
    <row r="20" spans="2:12" ht="10.5">
      <c r="B20" s="66" t="s">
        <v>23</v>
      </c>
      <c r="C20" s="66"/>
      <c r="D20" s="65">
        <v>0.25</v>
      </c>
      <c r="E20" s="65"/>
      <c r="F20" s="73"/>
      <c r="G20" s="73"/>
      <c r="H20" s="8"/>
      <c r="I20" s="65">
        <v>0</v>
      </c>
      <c r="J20" s="65"/>
      <c r="K20" s="7" t="s">
        <v>24</v>
      </c>
      <c r="L20" s="17">
        <v>0.25</v>
      </c>
    </row>
    <row r="21" spans="2:12" ht="15" customHeight="1">
      <c r="B21" s="66" t="s">
        <v>25</v>
      </c>
      <c r="C21" s="66"/>
      <c r="D21" s="65">
        <v>0.25</v>
      </c>
      <c r="E21" s="65"/>
      <c r="F21" s="73"/>
      <c r="G21" s="73"/>
      <c r="H21" s="8"/>
      <c r="I21" s="65">
        <v>0</v>
      </c>
      <c r="J21" s="65"/>
      <c r="K21" s="7"/>
      <c r="L21" s="17">
        <v>0.25</v>
      </c>
    </row>
    <row r="22" spans="2:12" ht="10.5">
      <c r="B22" s="66" t="s">
        <v>26</v>
      </c>
      <c r="C22" s="66"/>
      <c r="D22" s="65">
        <v>0.25</v>
      </c>
      <c r="E22" s="65"/>
      <c r="F22" s="73"/>
      <c r="G22" s="73"/>
      <c r="H22" s="8"/>
      <c r="I22" s="65">
        <v>0</v>
      </c>
      <c r="J22" s="65"/>
      <c r="K22" s="7"/>
      <c r="L22" s="17">
        <v>0.25</v>
      </c>
    </row>
    <row r="23" spans="2:12" ht="10.5">
      <c r="B23" s="66" t="s">
        <v>27</v>
      </c>
      <c r="C23" s="66"/>
      <c r="D23" s="65">
        <v>0.25</v>
      </c>
      <c r="E23" s="65"/>
      <c r="F23" s="73"/>
      <c r="G23" s="73"/>
      <c r="H23" s="8"/>
      <c r="I23" s="65">
        <v>0</v>
      </c>
      <c r="J23" s="65"/>
      <c r="K23" s="7"/>
      <c r="L23" s="17">
        <v>0.25</v>
      </c>
    </row>
    <row r="24" spans="2:12" ht="10.5">
      <c r="B24" s="66" t="s">
        <v>28</v>
      </c>
      <c r="C24" s="66"/>
      <c r="D24" s="65">
        <v>0.25</v>
      </c>
      <c r="E24" s="65"/>
      <c r="F24" s="73"/>
      <c r="G24" s="73"/>
      <c r="H24" s="8"/>
      <c r="I24" s="65">
        <v>0</v>
      </c>
      <c r="J24" s="65"/>
      <c r="K24" s="7"/>
      <c r="L24" s="17">
        <v>0.25</v>
      </c>
    </row>
    <row r="25" spans="2:12" ht="12" customHeight="1">
      <c r="B25" s="66" t="s">
        <v>29</v>
      </c>
      <c r="C25" s="66"/>
      <c r="D25" s="65">
        <v>0.25</v>
      </c>
      <c r="E25" s="65"/>
      <c r="F25" s="73"/>
      <c r="G25" s="73"/>
      <c r="H25" s="8"/>
      <c r="I25" s="65">
        <v>0</v>
      </c>
      <c r="J25" s="65"/>
      <c r="K25" s="7"/>
      <c r="L25" s="17">
        <v>0.25</v>
      </c>
    </row>
    <row r="26" spans="2:12" ht="12.75" customHeight="1">
      <c r="B26" s="66" t="s">
        <v>30</v>
      </c>
      <c r="C26" s="66"/>
      <c r="D26" s="65">
        <v>0.25</v>
      </c>
      <c r="E26" s="65"/>
      <c r="F26" s="73"/>
      <c r="G26" s="73"/>
      <c r="H26" s="8"/>
      <c r="I26" s="65">
        <v>0</v>
      </c>
      <c r="J26" s="65"/>
      <c r="K26" s="7"/>
      <c r="L26" s="17">
        <v>0.25</v>
      </c>
    </row>
    <row r="27" spans="2:12" ht="10.5">
      <c r="B27" s="66" t="s">
        <v>31</v>
      </c>
      <c r="C27" s="66"/>
      <c r="D27" s="65">
        <v>0.25</v>
      </c>
      <c r="E27" s="65"/>
      <c r="F27" s="73"/>
      <c r="G27" s="73"/>
      <c r="H27" s="8"/>
      <c r="I27" s="65">
        <v>0</v>
      </c>
      <c r="J27" s="65"/>
      <c r="K27" s="7"/>
      <c r="L27" s="17">
        <v>0.25</v>
      </c>
    </row>
    <row r="28" spans="2:12" ht="10.5">
      <c r="B28" s="66" t="s">
        <v>32</v>
      </c>
      <c r="C28" s="66"/>
      <c r="D28" s="65">
        <v>0.25</v>
      </c>
      <c r="E28" s="65"/>
      <c r="F28" s="73"/>
      <c r="G28" s="73"/>
      <c r="H28" s="8"/>
      <c r="I28" s="65">
        <v>0</v>
      </c>
      <c r="J28" s="65"/>
      <c r="K28" s="7"/>
      <c r="L28" s="17">
        <v>0.25</v>
      </c>
    </row>
    <row r="29" spans="2:12" ht="10.5">
      <c r="B29" s="66" t="s">
        <v>33</v>
      </c>
      <c r="C29" s="66"/>
      <c r="D29" s="65">
        <v>0.25</v>
      </c>
      <c r="E29" s="65"/>
      <c r="F29" s="73"/>
      <c r="G29" s="73"/>
      <c r="H29" s="8"/>
      <c r="I29" s="65">
        <v>0</v>
      </c>
      <c r="J29" s="65"/>
      <c r="K29" s="7"/>
      <c r="L29" s="17">
        <v>0</v>
      </c>
    </row>
    <row r="30" spans="2:12" ht="12" customHeight="1">
      <c r="B30" s="66" t="s">
        <v>34</v>
      </c>
      <c r="C30" s="66"/>
      <c r="D30" s="65">
        <v>0.25</v>
      </c>
      <c r="E30" s="65"/>
      <c r="F30" s="73"/>
      <c r="G30" s="73"/>
      <c r="H30" s="8"/>
      <c r="I30" s="65">
        <v>0</v>
      </c>
      <c r="J30" s="65"/>
      <c r="K30" s="7"/>
      <c r="L30" s="17">
        <v>0</v>
      </c>
    </row>
    <row r="31" spans="2:12" ht="10.5" customHeight="1">
      <c r="B31" s="66" t="s">
        <v>35</v>
      </c>
      <c r="C31" s="66"/>
      <c r="D31" s="65">
        <v>0.25</v>
      </c>
      <c r="E31" s="65"/>
      <c r="F31" s="73"/>
      <c r="G31" s="73"/>
      <c r="H31" s="8"/>
      <c r="I31" s="65">
        <v>0</v>
      </c>
      <c r="J31" s="65"/>
      <c r="K31" s="7"/>
      <c r="L31" s="17">
        <v>0.25</v>
      </c>
    </row>
    <row r="32" spans="2:12" ht="12" customHeight="1">
      <c r="B32" s="66" t="s">
        <v>36</v>
      </c>
      <c r="C32" s="66"/>
      <c r="D32" s="65">
        <v>0.25</v>
      </c>
      <c r="E32" s="65"/>
      <c r="F32" s="73"/>
      <c r="G32" s="73"/>
      <c r="H32" s="8"/>
      <c r="I32" s="65">
        <v>0</v>
      </c>
      <c r="J32" s="65"/>
      <c r="K32" s="7"/>
      <c r="L32" s="17">
        <v>0</v>
      </c>
    </row>
    <row r="33" spans="2:12" ht="25.5" customHeight="1">
      <c r="B33" s="66" t="s">
        <v>37</v>
      </c>
      <c r="C33" s="66"/>
      <c r="D33" s="65">
        <v>0.25</v>
      </c>
      <c r="E33" s="65"/>
      <c r="F33" s="73"/>
      <c r="G33" s="73"/>
      <c r="H33" s="8"/>
      <c r="I33" s="65">
        <v>0</v>
      </c>
      <c r="J33" s="65"/>
      <c r="K33" s="7"/>
      <c r="L33" s="17">
        <v>0</v>
      </c>
    </row>
    <row r="34" spans="2:12" ht="12" customHeight="1">
      <c r="B34" s="68" t="s">
        <v>38</v>
      </c>
      <c r="C34" s="68"/>
      <c r="D34" s="61">
        <v>4</v>
      </c>
      <c r="E34" s="61"/>
      <c r="F34" s="61"/>
      <c r="G34" s="61"/>
      <c r="H34" s="9"/>
      <c r="I34" s="61"/>
      <c r="J34" s="61"/>
      <c r="K34" s="10"/>
      <c r="L34" s="18">
        <f>SUM(L18:L33)</f>
        <v>3</v>
      </c>
    </row>
    <row r="35" spans="2:12" ht="28.5" customHeight="1">
      <c r="B35" s="71" t="s">
        <v>39</v>
      </c>
      <c r="C35" s="71"/>
      <c r="D35" s="70" t="s">
        <v>16</v>
      </c>
      <c r="E35" s="70"/>
      <c r="F35" s="70" t="s">
        <v>17</v>
      </c>
      <c r="G35" s="70"/>
      <c r="H35" s="6" t="s">
        <v>18</v>
      </c>
      <c r="I35" s="6" t="s">
        <v>19</v>
      </c>
      <c r="J35" s="6"/>
      <c r="K35" s="6" t="s">
        <v>20</v>
      </c>
      <c r="L35" s="12"/>
    </row>
    <row r="36" spans="2:12" ht="11.25">
      <c r="B36" s="66" t="s">
        <v>40</v>
      </c>
      <c r="C36" s="66"/>
      <c r="D36" s="65">
        <v>1</v>
      </c>
      <c r="E36" s="65"/>
      <c r="F36" s="67">
        <v>0.5</v>
      </c>
      <c r="G36" s="67"/>
      <c r="H36" s="7"/>
      <c r="I36" s="67">
        <v>0</v>
      </c>
      <c r="J36" s="67"/>
      <c r="K36" s="7"/>
      <c r="L36" s="19">
        <v>1</v>
      </c>
    </row>
    <row r="37" spans="2:12" ht="11.25">
      <c r="B37" s="66" t="s">
        <v>41</v>
      </c>
      <c r="C37" s="66"/>
      <c r="D37" s="65">
        <v>1</v>
      </c>
      <c r="E37" s="65"/>
      <c r="F37" s="67"/>
      <c r="G37" s="67"/>
      <c r="H37" s="7"/>
      <c r="I37" s="67">
        <v>0</v>
      </c>
      <c r="J37" s="67"/>
      <c r="K37" s="7"/>
      <c r="L37" s="19">
        <v>1</v>
      </c>
    </row>
    <row r="38" spans="2:12" ht="11.25">
      <c r="B38" s="66" t="s">
        <v>42</v>
      </c>
      <c r="C38" s="66"/>
      <c r="D38" s="65">
        <v>1</v>
      </c>
      <c r="E38" s="65"/>
      <c r="F38" s="67"/>
      <c r="G38" s="67"/>
      <c r="H38" s="7"/>
      <c r="I38" s="67">
        <v>0</v>
      </c>
      <c r="J38" s="67"/>
      <c r="K38" s="7"/>
      <c r="L38" s="19">
        <v>1</v>
      </c>
    </row>
    <row r="39" spans="2:12" ht="11.25">
      <c r="B39" s="64" t="s">
        <v>43</v>
      </c>
      <c r="C39" s="64"/>
      <c r="D39" s="65">
        <v>3</v>
      </c>
      <c r="E39" s="65"/>
      <c r="F39" s="67">
        <v>1.5</v>
      </c>
      <c r="G39" s="67"/>
      <c r="H39" s="7"/>
      <c r="I39" s="67">
        <v>0</v>
      </c>
      <c r="J39" s="67"/>
      <c r="K39" s="7"/>
      <c r="L39" s="19">
        <v>3</v>
      </c>
    </row>
    <row r="40" spans="2:12" ht="11.25">
      <c r="B40" s="66" t="s">
        <v>44</v>
      </c>
      <c r="C40" s="66"/>
      <c r="D40" s="67">
        <v>1</v>
      </c>
      <c r="E40" s="67"/>
      <c r="F40" s="67">
        <v>0.5</v>
      </c>
      <c r="G40" s="67"/>
      <c r="H40" s="7"/>
      <c r="I40" s="67">
        <v>0</v>
      </c>
      <c r="J40" s="67"/>
      <c r="K40" s="7"/>
      <c r="L40" s="19">
        <v>0.5</v>
      </c>
    </row>
    <row r="41" spans="2:12" ht="11.25">
      <c r="B41" s="66" t="s">
        <v>45</v>
      </c>
      <c r="C41" s="66"/>
      <c r="D41" s="65">
        <v>2</v>
      </c>
      <c r="E41" s="65"/>
      <c r="F41" s="67">
        <v>1</v>
      </c>
      <c r="G41" s="67"/>
      <c r="H41" s="7"/>
      <c r="I41" s="67">
        <v>0</v>
      </c>
      <c r="J41" s="67"/>
      <c r="K41" s="7"/>
      <c r="L41" s="19">
        <v>2</v>
      </c>
    </row>
    <row r="42" spans="2:12" ht="12" customHeight="1">
      <c r="B42" s="68" t="s">
        <v>46</v>
      </c>
      <c r="C42" s="68"/>
      <c r="D42" s="61">
        <v>9</v>
      </c>
      <c r="E42" s="61"/>
      <c r="F42" s="60"/>
      <c r="G42" s="60"/>
      <c r="H42" s="10"/>
      <c r="I42" s="60"/>
      <c r="J42" s="60"/>
      <c r="K42" s="10"/>
      <c r="L42" s="18">
        <f>SUM(L36:L41)</f>
        <v>8.5</v>
      </c>
    </row>
    <row r="43" spans="2:12" ht="19.5">
      <c r="B43" s="71" t="s">
        <v>47</v>
      </c>
      <c r="C43" s="71"/>
      <c r="D43" s="70" t="s">
        <v>16</v>
      </c>
      <c r="E43" s="70"/>
      <c r="F43" s="70" t="s">
        <v>17</v>
      </c>
      <c r="G43" s="70"/>
      <c r="H43" s="6" t="s">
        <v>18</v>
      </c>
      <c r="I43" s="6" t="s">
        <v>19</v>
      </c>
      <c r="J43" s="6"/>
      <c r="K43" s="6" t="s">
        <v>20</v>
      </c>
      <c r="L43" s="12"/>
    </row>
    <row r="44" spans="2:12" ht="12.75" customHeight="1">
      <c r="B44" s="114" t="s">
        <v>48</v>
      </c>
      <c r="C44" s="115"/>
      <c r="D44" s="115"/>
      <c r="E44" s="115"/>
      <c r="F44" s="115"/>
      <c r="G44" s="115"/>
      <c r="H44" s="115"/>
      <c r="I44" s="115"/>
      <c r="J44" s="115"/>
      <c r="K44" s="116"/>
      <c r="L44" s="20"/>
    </row>
    <row r="45" spans="2:12" ht="15" customHeight="1">
      <c r="B45" s="66" t="s">
        <v>49</v>
      </c>
      <c r="C45" s="66"/>
      <c r="D45" s="67">
        <v>2</v>
      </c>
      <c r="E45" s="67"/>
      <c r="F45" s="67">
        <v>0.5</v>
      </c>
      <c r="G45" s="67"/>
      <c r="H45" s="7"/>
      <c r="I45" s="67">
        <v>0</v>
      </c>
      <c r="J45" s="67"/>
      <c r="K45" s="7"/>
      <c r="L45" s="17">
        <v>2</v>
      </c>
    </row>
    <row r="46" spans="2:12" ht="12" customHeight="1">
      <c r="B46" s="66" t="s">
        <v>50</v>
      </c>
      <c r="C46" s="66"/>
      <c r="D46" s="65">
        <v>1</v>
      </c>
      <c r="E46" s="65"/>
      <c r="F46" s="67">
        <v>0.5</v>
      </c>
      <c r="G46" s="67"/>
      <c r="H46" s="7"/>
      <c r="I46" s="67">
        <v>0</v>
      </c>
      <c r="J46" s="67"/>
      <c r="K46" s="7"/>
      <c r="L46" s="17">
        <v>1</v>
      </c>
    </row>
    <row r="47" spans="2:12" ht="34.5" customHeight="1">
      <c r="B47" s="66" t="s">
        <v>51</v>
      </c>
      <c r="C47" s="66"/>
      <c r="D47" s="65">
        <v>2</v>
      </c>
      <c r="E47" s="65"/>
      <c r="F47" s="67">
        <v>1</v>
      </c>
      <c r="G47" s="67"/>
      <c r="H47" s="7"/>
      <c r="I47" s="67">
        <v>0</v>
      </c>
      <c r="J47" s="67"/>
      <c r="K47" s="7"/>
      <c r="L47" s="17">
        <v>2</v>
      </c>
    </row>
    <row r="48" spans="2:12" ht="11.25" customHeight="1">
      <c r="B48" s="66" t="s">
        <v>52</v>
      </c>
      <c r="C48" s="66"/>
      <c r="D48" s="67">
        <v>4</v>
      </c>
      <c r="E48" s="67"/>
      <c r="F48" s="67">
        <v>2</v>
      </c>
      <c r="G48" s="67"/>
      <c r="H48" s="7"/>
      <c r="I48" s="67">
        <v>0</v>
      </c>
      <c r="J48" s="67"/>
      <c r="K48" s="7"/>
      <c r="L48" s="17">
        <v>4</v>
      </c>
    </row>
    <row r="49" spans="2:12" ht="11.25">
      <c r="B49" s="68" t="s">
        <v>46</v>
      </c>
      <c r="C49" s="68"/>
      <c r="D49" s="60">
        <v>9</v>
      </c>
      <c r="E49" s="60"/>
      <c r="F49" s="60"/>
      <c r="G49" s="60"/>
      <c r="H49" s="10"/>
      <c r="I49" s="60"/>
      <c r="J49" s="60"/>
      <c r="K49" s="10"/>
      <c r="L49" s="18">
        <f>SUM(L45:L48)</f>
        <v>9</v>
      </c>
    </row>
    <row r="50" spans="2:12" ht="9.75">
      <c r="B50" s="71" t="s">
        <v>53</v>
      </c>
      <c r="C50" s="71"/>
      <c r="D50" s="70" t="s">
        <v>16</v>
      </c>
      <c r="E50" s="70"/>
      <c r="F50" s="72" t="s">
        <v>17</v>
      </c>
      <c r="G50" s="72"/>
      <c r="H50" s="11" t="s">
        <v>18</v>
      </c>
      <c r="I50" s="72" t="s">
        <v>19</v>
      </c>
      <c r="J50" s="72"/>
      <c r="K50" s="11" t="s">
        <v>20</v>
      </c>
      <c r="L50" s="12"/>
    </row>
    <row r="51" spans="2:12" ht="12" customHeight="1">
      <c r="B51" s="66" t="s">
        <v>54</v>
      </c>
      <c r="C51" s="66"/>
      <c r="D51" s="67">
        <v>8</v>
      </c>
      <c r="E51" s="67"/>
      <c r="F51" s="67">
        <v>4</v>
      </c>
      <c r="G51" s="67"/>
      <c r="H51" s="7"/>
      <c r="I51" s="67">
        <v>0</v>
      </c>
      <c r="J51" s="67"/>
      <c r="K51" s="7" t="s">
        <v>24</v>
      </c>
      <c r="L51" s="17">
        <v>8</v>
      </c>
    </row>
    <row r="52" spans="2:12" ht="12" customHeight="1">
      <c r="B52" s="66" t="s">
        <v>55</v>
      </c>
      <c r="C52" s="66"/>
      <c r="D52" s="65">
        <v>8</v>
      </c>
      <c r="E52" s="65"/>
      <c r="F52" s="67">
        <v>4</v>
      </c>
      <c r="G52" s="67"/>
      <c r="H52" s="7"/>
      <c r="I52" s="67">
        <v>0</v>
      </c>
      <c r="J52" s="67"/>
      <c r="K52" s="7" t="s">
        <v>24</v>
      </c>
      <c r="L52" s="17">
        <v>8</v>
      </c>
    </row>
    <row r="53" spans="2:12" ht="12" customHeight="1">
      <c r="B53" s="66" t="s">
        <v>56</v>
      </c>
      <c r="C53" s="66"/>
      <c r="D53" s="67">
        <v>4</v>
      </c>
      <c r="E53" s="67"/>
      <c r="F53" s="67"/>
      <c r="G53" s="67"/>
      <c r="H53" s="7"/>
      <c r="I53" s="67">
        <v>0</v>
      </c>
      <c r="J53" s="67"/>
      <c r="K53" s="7"/>
      <c r="L53" s="17">
        <v>4</v>
      </c>
    </row>
    <row r="54" spans="2:12" ht="12" customHeight="1">
      <c r="B54" s="68" t="s">
        <v>46</v>
      </c>
      <c r="C54" s="68"/>
      <c r="D54" s="60">
        <v>20</v>
      </c>
      <c r="E54" s="60"/>
      <c r="F54" s="60"/>
      <c r="G54" s="60"/>
      <c r="H54" s="10"/>
      <c r="I54" s="60"/>
      <c r="J54" s="60"/>
      <c r="K54" s="10"/>
      <c r="L54" s="18">
        <f>SUM(L51:L53)</f>
        <v>20</v>
      </c>
    </row>
    <row r="55" spans="2:12" ht="9.75">
      <c r="B55" s="71" t="s">
        <v>57</v>
      </c>
      <c r="C55" s="71"/>
      <c r="D55" s="70" t="s">
        <v>16</v>
      </c>
      <c r="E55" s="70"/>
      <c r="F55" s="72" t="s">
        <v>17</v>
      </c>
      <c r="G55" s="72"/>
      <c r="H55" s="11" t="s">
        <v>18</v>
      </c>
      <c r="I55" s="72" t="s">
        <v>19</v>
      </c>
      <c r="J55" s="72"/>
      <c r="K55" s="11" t="s">
        <v>20</v>
      </c>
      <c r="L55" s="12"/>
    </row>
    <row r="56" spans="2:12" ht="23.25" customHeight="1">
      <c r="B56" s="66" t="s">
        <v>58</v>
      </c>
      <c r="C56" s="66"/>
      <c r="D56" s="67">
        <v>5</v>
      </c>
      <c r="E56" s="67"/>
      <c r="F56" s="65">
        <v>1</v>
      </c>
      <c r="G56" s="65"/>
      <c r="H56" s="5">
        <v>2</v>
      </c>
      <c r="I56" s="65">
        <v>0</v>
      </c>
      <c r="J56" s="65"/>
      <c r="K56" s="5" t="s">
        <v>24</v>
      </c>
      <c r="L56" s="17">
        <v>5</v>
      </c>
    </row>
    <row r="57" spans="2:12" ht="23.25" customHeight="1">
      <c r="B57" s="66" t="s">
        <v>59</v>
      </c>
      <c r="C57" s="66"/>
      <c r="D57" s="67">
        <v>5</v>
      </c>
      <c r="E57" s="67"/>
      <c r="F57" s="65">
        <v>1</v>
      </c>
      <c r="G57" s="65"/>
      <c r="H57" s="5">
        <v>2</v>
      </c>
      <c r="I57" s="65">
        <v>0</v>
      </c>
      <c r="J57" s="65"/>
      <c r="K57" s="5" t="s">
        <v>24</v>
      </c>
      <c r="L57" s="21" t="s">
        <v>24</v>
      </c>
    </row>
    <row r="58" spans="2:12" ht="23.25" customHeight="1">
      <c r="B58" s="66" t="s">
        <v>60</v>
      </c>
      <c r="C58" s="66"/>
      <c r="D58" s="67">
        <v>4</v>
      </c>
      <c r="E58" s="67"/>
      <c r="F58" s="65">
        <v>1</v>
      </c>
      <c r="G58" s="65"/>
      <c r="H58" s="5">
        <v>2</v>
      </c>
      <c r="I58" s="65">
        <v>0</v>
      </c>
      <c r="J58" s="65"/>
      <c r="K58" s="5" t="s">
        <v>24</v>
      </c>
      <c r="L58" s="17">
        <v>4</v>
      </c>
    </row>
    <row r="59" spans="2:12" ht="23.25" customHeight="1">
      <c r="B59" s="66" t="s">
        <v>61</v>
      </c>
      <c r="C59" s="66"/>
      <c r="D59" s="67">
        <v>4</v>
      </c>
      <c r="E59" s="67"/>
      <c r="F59" s="65"/>
      <c r="G59" s="65"/>
      <c r="H59" s="5"/>
      <c r="I59" s="65"/>
      <c r="J59" s="65"/>
      <c r="K59" s="5" t="s">
        <v>62</v>
      </c>
      <c r="L59" s="21" t="s">
        <v>24</v>
      </c>
    </row>
    <row r="60" spans="2:12" ht="23.25" customHeight="1">
      <c r="B60" s="66" t="s">
        <v>63</v>
      </c>
      <c r="C60" s="66"/>
      <c r="D60" s="67">
        <v>4</v>
      </c>
      <c r="E60" s="67"/>
      <c r="F60" s="65">
        <v>1</v>
      </c>
      <c r="G60" s="65"/>
      <c r="H60" s="5">
        <v>2</v>
      </c>
      <c r="I60" s="65" t="s">
        <v>64</v>
      </c>
      <c r="J60" s="65"/>
      <c r="K60" s="5" t="s">
        <v>24</v>
      </c>
      <c r="L60" s="21" t="s">
        <v>24</v>
      </c>
    </row>
    <row r="61" spans="2:12" ht="12.75" customHeight="1">
      <c r="B61" s="64" t="s">
        <v>65</v>
      </c>
      <c r="C61" s="64"/>
      <c r="D61" s="67">
        <v>2</v>
      </c>
      <c r="E61" s="67"/>
      <c r="F61" s="67"/>
      <c r="G61" s="67"/>
      <c r="H61" s="7"/>
      <c r="I61" s="67">
        <v>0</v>
      </c>
      <c r="J61" s="67"/>
      <c r="K61" s="7" t="s">
        <v>24</v>
      </c>
      <c r="L61" s="17">
        <v>0</v>
      </c>
    </row>
    <row r="62" spans="2:12" ht="11.25" customHeight="1">
      <c r="B62" s="68" t="s">
        <v>38</v>
      </c>
      <c r="C62" s="68"/>
      <c r="D62" s="60">
        <v>24</v>
      </c>
      <c r="E62" s="60"/>
      <c r="F62" s="61"/>
      <c r="G62" s="61"/>
      <c r="H62" s="9"/>
      <c r="I62" s="61"/>
      <c r="J62" s="61"/>
      <c r="K62" s="10"/>
      <c r="L62" s="22">
        <f>SUM(L56:L61)</f>
        <v>9</v>
      </c>
    </row>
    <row r="63" spans="2:12" ht="19.5">
      <c r="B63" s="71" t="s">
        <v>66</v>
      </c>
      <c r="C63" s="71"/>
      <c r="D63" s="72" t="s">
        <v>16</v>
      </c>
      <c r="E63" s="72"/>
      <c r="F63" s="70" t="s">
        <v>17</v>
      </c>
      <c r="G63" s="70"/>
      <c r="H63" s="6" t="s">
        <v>18</v>
      </c>
      <c r="I63" s="70" t="s">
        <v>19</v>
      </c>
      <c r="J63" s="70"/>
      <c r="K63" s="6" t="s">
        <v>20</v>
      </c>
      <c r="L63" s="12"/>
    </row>
    <row r="64" spans="2:12" ht="24.75" customHeight="1">
      <c r="B64" s="66" t="s">
        <v>67</v>
      </c>
      <c r="C64" s="66"/>
      <c r="D64" s="65">
        <v>4</v>
      </c>
      <c r="E64" s="65"/>
      <c r="F64" s="67" t="s">
        <v>68</v>
      </c>
      <c r="G64" s="67"/>
      <c r="H64" s="7"/>
      <c r="I64" s="67">
        <v>0</v>
      </c>
      <c r="J64" s="67"/>
      <c r="K64" s="7" t="s">
        <v>24</v>
      </c>
      <c r="L64" s="17">
        <v>4</v>
      </c>
    </row>
    <row r="65" spans="2:14" ht="34.5" customHeight="1">
      <c r="B65" s="66" t="s">
        <v>69</v>
      </c>
      <c r="C65" s="66"/>
      <c r="D65" s="65">
        <v>4</v>
      </c>
      <c r="E65" s="65"/>
      <c r="F65" s="67" t="s">
        <v>70</v>
      </c>
      <c r="G65" s="67"/>
      <c r="H65" s="7"/>
      <c r="I65" s="67">
        <v>0</v>
      </c>
      <c r="J65" s="67"/>
      <c r="K65" s="7" t="s">
        <v>24</v>
      </c>
      <c r="L65" s="17">
        <v>4</v>
      </c>
    </row>
    <row r="66" spans="2:14" ht="12.75" customHeight="1">
      <c r="B66" s="66" t="s">
        <v>71</v>
      </c>
      <c r="C66" s="66"/>
      <c r="D66" s="65">
        <v>2</v>
      </c>
      <c r="E66" s="65"/>
      <c r="F66" s="67"/>
      <c r="G66" s="67"/>
      <c r="H66" s="7"/>
      <c r="I66" s="67">
        <v>0</v>
      </c>
      <c r="J66" s="67"/>
      <c r="K66" s="7" t="s">
        <v>24</v>
      </c>
      <c r="L66" s="17">
        <v>2</v>
      </c>
    </row>
    <row r="67" spans="2:14" ht="12.75" customHeight="1">
      <c r="B67" s="66" t="s">
        <v>72</v>
      </c>
      <c r="C67" s="66"/>
      <c r="D67" s="65">
        <v>2</v>
      </c>
      <c r="E67" s="65"/>
      <c r="F67" s="67"/>
      <c r="G67" s="67"/>
      <c r="H67" s="7"/>
      <c r="I67" s="67">
        <v>0</v>
      </c>
      <c r="J67" s="67"/>
      <c r="K67" s="7" t="s">
        <v>24</v>
      </c>
      <c r="L67" s="17">
        <v>2</v>
      </c>
    </row>
    <row r="68" spans="2:14" ht="9.75">
      <c r="B68" s="66" t="s">
        <v>73</v>
      </c>
      <c r="C68" s="66"/>
      <c r="D68" s="65">
        <v>2</v>
      </c>
      <c r="E68" s="65"/>
      <c r="F68" s="67"/>
      <c r="G68" s="67"/>
      <c r="H68" s="7"/>
      <c r="I68" s="67">
        <v>0</v>
      </c>
      <c r="J68" s="67"/>
      <c r="K68" s="7" t="s">
        <v>24</v>
      </c>
      <c r="L68" s="17">
        <v>2</v>
      </c>
    </row>
    <row r="69" spans="2:14" ht="12.75" customHeight="1">
      <c r="B69" s="66" t="s">
        <v>74</v>
      </c>
      <c r="C69" s="66"/>
      <c r="D69" s="65">
        <v>2</v>
      </c>
      <c r="E69" s="65"/>
      <c r="F69" s="67"/>
      <c r="G69" s="67"/>
      <c r="H69" s="7"/>
      <c r="I69" s="67">
        <v>0</v>
      </c>
      <c r="J69" s="67"/>
      <c r="K69" s="7" t="s">
        <v>24</v>
      </c>
      <c r="L69" s="17">
        <v>2</v>
      </c>
    </row>
    <row r="70" spans="2:14" ht="12.75" customHeight="1">
      <c r="B70" s="66" t="s">
        <v>75</v>
      </c>
      <c r="C70" s="66"/>
      <c r="D70" s="65">
        <v>1</v>
      </c>
      <c r="E70" s="65"/>
      <c r="F70" s="67" t="s">
        <v>76</v>
      </c>
      <c r="G70" s="67"/>
      <c r="H70" s="7"/>
      <c r="I70" s="67">
        <v>0</v>
      </c>
      <c r="J70" s="67"/>
      <c r="K70" s="7" t="s">
        <v>24</v>
      </c>
      <c r="L70" s="17">
        <v>1</v>
      </c>
    </row>
    <row r="71" spans="2:14" ht="11.25">
      <c r="B71" s="68" t="s">
        <v>46</v>
      </c>
      <c r="C71" s="68"/>
      <c r="D71" s="61">
        <v>17</v>
      </c>
      <c r="E71" s="61"/>
      <c r="F71" s="60"/>
      <c r="G71" s="60"/>
      <c r="H71" s="10"/>
      <c r="I71" s="60"/>
      <c r="J71" s="60"/>
      <c r="K71" s="10"/>
      <c r="L71" s="18">
        <f>SUM(L64:L70)</f>
        <v>17</v>
      </c>
    </row>
    <row r="72" spans="2:14" ht="10.5" customHeight="1">
      <c r="B72" s="69" t="s">
        <v>77</v>
      </c>
      <c r="C72" s="69"/>
      <c r="D72" s="70"/>
      <c r="E72" s="70"/>
      <c r="F72" s="70"/>
      <c r="G72" s="70"/>
      <c r="H72" s="6"/>
      <c r="I72" s="70"/>
      <c r="J72" s="70"/>
      <c r="K72" s="11"/>
      <c r="L72" s="12"/>
    </row>
    <row r="73" spans="2:14" ht="31.5" customHeight="1">
      <c r="B73" s="66" t="s">
        <v>78</v>
      </c>
      <c r="C73" s="66"/>
      <c r="D73" s="65">
        <v>2</v>
      </c>
      <c r="E73" s="65"/>
      <c r="F73" s="65">
        <v>1</v>
      </c>
      <c r="G73" s="65"/>
      <c r="H73" s="5"/>
      <c r="I73" s="65" t="s">
        <v>79</v>
      </c>
      <c r="J73" s="65"/>
      <c r="K73" s="7" t="s">
        <v>24</v>
      </c>
      <c r="L73" s="17">
        <v>2</v>
      </c>
    </row>
    <row r="74" spans="2:14" ht="9.75">
      <c r="B74" s="64" t="s">
        <v>80</v>
      </c>
      <c r="C74" s="64"/>
      <c r="D74" s="65">
        <v>1</v>
      </c>
      <c r="E74" s="65"/>
      <c r="F74" s="65"/>
      <c r="G74" s="65"/>
      <c r="H74" s="5"/>
      <c r="I74" s="65">
        <v>0</v>
      </c>
      <c r="J74" s="65"/>
      <c r="K74" s="7"/>
      <c r="L74" s="17">
        <v>1</v>
      </c>
    </row>
    <row r="75" spans="2:14" ht="9.75">
      <c r="B75" s="66" t="s">
        <v>81</v>
      </c>
      <c r="C75" s="66"/>
      <c r="D75" s="65">
        <v>1</v>
      </c>
      <c r="E75" s="65"/>
      <c r="F75" s="65"/>
      <c r="G75" s="65"/>
      <c r="H75" s="5"/>
      <c r="I75" s="65">
        <v>0</v>
      </c>
      <c r="J75" s="65"/>
      <c r="K75" s="7"/>
      <c r="L75" s="17">
        <v>1</v>
      </c>
    </row>
    <row r="76" spans="2:14" ht="9.75">
      <c r="B76" s="64" t="s">
        <v>82</v>
      </c>
      <c r="C76" s="64"/>
      <c r="D76" s="65">
        <v>1</v>
      </c>
      <c r="E76" s="65"/>
      <c r="F76" s="65"/>
      <c r="G76" s="65"/>
      <c r="H76" s="5"/>
      <c r="I76" s="65">
        <v>0</v>
      </c>
      <c r="J76" s="65"/>
      <c r="K76" s="7"/>
      <c r="L76" s="17">
        <v>1</v>
      </c>
    </row>
    <row r="77" spans="2:14" ht="9.75">
      <c r="B77" s="64" t="s">
        <v>83</v>
      </c>
      <c r="C77" s="64"/>
      <c r="D77" s="65">
        <v>2</v>
      </c>
      <c r="E77" s="65"/>
      <c r="F77" s="65">
        <v>1</v>
      </c>
      <c r="G77" s="65"/>
      <c r="H77" s="5"/>
      <c r="I77" s="65">
        <v>0</v>
      </c>
      <c r="J77" s="65"/>
      <c r="K77" s="7"/>
      <c r="L77" s="17">
        <v>2</v>
      </c>
    </row>
    <row r="78" spans="2:14" ht="11.25" customHeight="1">
      <c r="B78" s="59" t="s">
        <v>46</v>
      </c>
      <c r="C78" s="59"/>
      <c r="D78" s="60">
        <v>7</v>
      </c>
      <c r="E78" s="60"/>
      <c r="F78" s="60"/>
      <c r="G78" s="60"/>
      <c r="H78" s="10"/>
      <c r="I78" s="60"/>
      <c r="J78" s="60"/>
      <c r="K78" s="10"/>
      <c r="L78" s="18">
        <f>SUM(L73:L77)</f>
        <v>7</v>
      </c>
    </row>
    <row r="79" spans="2:14" ht="12" customHeight="1">
      <c r="B79" s="111" t="s">
        <v>84</v>
      </c>
      <c r="C79" s="111"/>
      <c r="D79" s="112">
        <v>10</v>
      </c>
      <c r="E79" s="112"/>
      <c r="F79" s="113">
        <v>5</v>
      </c>
      <c r="G79" s="113"/>
      <c r="H79" s="24"/>
      <c r="I79" s="113">
        <v>0</v>
      </c>
      <c r="J79" s="113"/>
      <c r="K79" s="23" t="s">
        <v>24</v>
      </c>
      <c r="L79" s="18">
        <v>5</v>
      </c>
    </row>
    <row r="80" spans="2:14" ht="11.25" customHeight="1">
      <c r="B80" s="62" t="s">
        <v>85</v>
      </c>
      <c r="C80" s="62"/>
      <c r="D80" s="63">
        <v>100</v>
      </c>
      <c r="E80" s="63"/>
      <c r="F80" s="63"/>
      <c r="G80" s="63"/>
      <c r="H80" s="25"/>
      <c r="I80" s="63"/>
      <c r="J80" s="63"/>
      <c r="K80" s="25"/>
      <c r="L80" s="31"/>
      <c r="M80" s="39"/>
      <c r="N80" s="40"/>
    </row>
    <row r="81" spans="2:14" ht="11.25" customHeight="1">
      <c r="B81" s="54" t="s">
        <v>86</v>
      </c>
      <c r="C81" s="55"/>
      <c r="D81" s="55"/>
      <c r="E81" s="55"/>
      <c r="F81" s="55"/>
      <c r="G81" s="55"/>
      <c r="H81" s="55"/>
      <c r="I81" s="55"/>
      <c r="J81" s="55"/>
      <c r="K81" s="56"/>
      <c r="L81" s="19">
        <f>SUM(L34,L42,L49,L54,L62,L71,L78,L79)</f>
        <v>78.5</v>
      </c>
      <c r="M81" s="39"/>
      <c r="N81" s="39"/>
    </row>
    <row r="82" spans="2:14" ht="11.25" customHeight="1">
      <c r="B82" s="54" t="s">
        <v>87</v>
      </c>
      <c r="C82" s="55"/>
      <c r="D82" s="55"/>
      <c r="E82" s="55"/>
      <c r="F82" s="55"/>
      <c r="G82" s="55"/>
      <c r="H82" s="55"/>
      <c r="I82" s="55"/>
      <c r="J82" s="55"/>
      <c r="K82" s="56"/>
      <c r="L82" s="19">
        <v>13</v>
      </c>
    </row>
    <row r="83" spans="2:14" ht="11.25" customHeight="1">
      <c r="B83" s="54" t="s">
        <v>88</v>
      </c>
      <c r="C83" s="55"/>
      <c r="D83" s="55"/>
      <c r="E83" s="55"/>
      <c r="F83" s="55"/>
      <c r="G83" s="55"/>
      <c r="H83" s="55"/>
      <c r="I83" s="55"/>
      <c r="J83" s="55"/>
      <c r="K83" s="56"/>
      <c r="L83" s="32">
        <f>+L81*100/(100-L82)</f>
        <v>90.229885057471293</v>
      </c>
    </row>
    <row r="84" spans="2:14" ht="11.25">
      <c r="B84" s="57" t="s">
        <v>196</v>
      </c>
      <c r="C84" s="57"/>
      <c r="D84" s="57"/>
      <c r="E84" s="57"/>
      <c r="F84" s="57"/>
      <c r="G84" s="57"/>
      <c r="H84" s="57"/>
      <c r="I84" s="57"/>
      <c r="J84" s="57"/>
      <c r="K84" s="57"/>
      <c r="L84" s="33"/>
    </row>
    <row r="85" spans="2:14" ht="10.5" customHeight="1">
      <c r="B85" s="26" t="s">
        <v>91</v>
      </c>
      <c r="C85" s="106" t="s">
        <v>92</v>
      </c>
      <c r="D85" s="106"/>
      <c r="E85" s="106"/>
      <c r="F85" s="106"/>
      <c r="G85" s="106"/>
      <c r="H85" s="106"/>
      <c r="I85" s="106"/>
      <c r="J85" s="106"/>
      <c r="K85" s="106"/>
      <c r="L85" s="19" t="s">
        <v>197</v>
      </c>
    </row>
    <row r="86" spans="2:14" ht="11.25" customHeight="1">
      <c r="B86" s="26" t="s">
        <v>93</v>
      </c>
      <c r="C86" s="106" t="s">
        <v>94</v>
      </c>
      <c r="D86" s="106"/>
      <c r="E86" s="106"/>
      <c r="F86" s="106"/>
      <c r="G86" s="106"/>
      <c r="H86" s="106"/>
      <c r="I86" s="106"/>
      <c r="J86" s="106"/>
      <c r="K86" s="106"/>
      <c r="L86" s="19"/>
    </row>
    <row r="87" spans="2:14" ht="11.25" customHeight="1">
      <c r="B87" s="26" t="s">
        <v>95</v>
      </c>
      <c r="C87" s="106" t="s">
        <v>96</v>
      </c>
      <c r="D87" s="106"/>
      <c r="E87" s="106"/>
      <c r="F87" s="106"/>
      <c r="G87" s="106"/>
      <c r="H87" s="106"/>
      <c r="I87" s="106"/>
      <c r="J87" s="106"/>
      <c r="K87" s="106"/>
      <c r="L87" s="19"/>
    </row>
    <row r="88" spans="2:14" ht="11.25">
      <c r="B88" s="107" t="s">
        <v>97</v>
      </c>
      <c r="C88" s="108"/>
      <c r="D88" s="108"/>
      <c r="E88" s="108"/>
      <c r="F88" s="108"/>
      <c r="G88" s="108"/>
      <c r="H88" s="108"/>
      <c r="I88" s="108"/>
      <c r="J88" s="108"/>
      <c r="K88" s="108"/>
      <c r="L88" s="33"/>
    </row>
    <row r="89" spans="2:14" ht="57.75" customHeight="1">
      <c r="B89" s="109"/>
      <c r="C89" s="110"/>
      <c r="D89" s="110"/>
      <c r="E89" s="110"/>
      <c r="F89" s="110"/>
      <c r="G89" s="110"/>
      <c r="H89" s="110"/>
      <c r="I89" s="110"/>
      <c r="J89" s="110"/>
      <c r="K89" s="110"/>
      <c r="L89" s="41" t="s">
        <v>198</v>
      </c>
    </row>
    <row r="90" spans="2:14" ht="11.25">
      <c r="B90" s="107" t="s">
        <v>98</v>
      </c>
      <c r="C90" s="108"/>
      <c r="D90" s="108"/>
      <c r="E90" s="108"/>
      <c r="F90" s="108"/>
      <c r="G90" s="108"/>
      <c r="H90" s="108"/>
      <c r="I90" s="108"/>
      <c r="J90" s="108"/>
      <c r="K90" s="108"/>
      <c r="L90" s="34"/>
    </row>
    <row r="91" spans="2:14" ht="52.15" customHeight="1">
      <c r="B91" s="109"/>
      <c r="C91" s="110"/>
      <c r="D91" s="110"/>
      <c r="E91" s="110"/>
      <c r="F91" s="110"/>
      <c r="G91" s="110"/>
      <c r="H91" s="110"/>
      <c r="I91" s="110"/>
      <c r="J91" s="110"/>
      <c r="K91" s="110"/>
      <c r="L91" s="41" t="s">
        <v>199</v>
      </c>
    </row>
    <row r="92" spans="2:14" ht="11.25">
      <c r="B92" s="107" t="s">
        <v>99</v>
      </c>
      <c r="C92" s="108"/>
      <c r="D92" s="108"/>
      <c r="E92" s="108"/>
      <c r="F92" s="108"/>
      <c r="G92" s="108"/>
      <c r="H92" s="108"/>
      <c r="I92" s="108"/>
      <c r="J92" s="108"/>
      <c r="K92" s="108"/>
      <c r="L92" s="34"/>
    </row>
    <row r="93" spans="2:14" ht="45.6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41" t="s">
        <v>200</v>
      </c>
    </row>
    <row r="94" spans="2:14" ht="10.5">
      <c r="B94" s="29"/>
      <c r="C94" s="29"/>
      <c r="D94" s="30"/>
      <c r="E94" s="30"/>
      <c r="F94" s="30"/>
      <c r="G94" s="30"/>
      <c r="H94" s="30"/>
      <c r="I94" s="30"/>
      <c r="J94" s="30"/>
      <c r="K94" s="30"/>
    </row>
  </sheetData>
  <mergeCells count="287">
    <mergeCell ref="B3:K3"/>
    <mergeCell ref="B4:K4"/>
    <mergeCell ref="B5:K5"/>
    <mergeCell ref="B6:D6"/>
    <mergeCell ref="E6:K6"/>
    <mergeCell ref="B7:D7"/>
    <mergeCell ref="E7:K7"/>
    <mergeCell ref="B8:D8"/>
    <mergeCell ref="E8:K8"/>
    <mergeCell ref="B9:D9"/>
    <mergeCell ref="E9:K9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6:K16"/>
    <mergeCell ref="B17:C17"/>
    <mergeCell ref="D17:E17"/>
    <mergeCell ref="F17:G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B44:K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55:C55"/>
    <mergeCell ref="D55:E55"/>
    <mergeCell ref="F55:G55"/>
    <mergeCell ref="I55:J55"/>
    <mergeCell ref="B56:C56"/>
    <mergeCell ref="D56:E56"/>
    <mergeCell ref="F56:G56"/>
    <mergeCell ref="I56:J56"/>
    <mergeCell ref="B57:C57"/>
    <mergeCell ref="D57:E57"/>
    <mergeCell ref="F57:G57"/>
    <mergeCell ref="I57:J57"/>
    <mergeCell ref="B58:C58"/>
    <mergeCell ref="D58:E58"/>
    <mergeCell ref="F58:G58"/>
    <mergeCell ref="I58:J58"/>
    <mergeCell ref="B59:C59"/>
    <mergeCell ref="D59:E59"/>
    <mergeCell ref="F59:G59"/>
    <mergeCell ref="I59:J59"/>
    <mergeCell ref="B60:C60"/>
    <mergeCell ref="D60:E60"/>
    <mergeCell ref="F60:G60"/>
    <mergeCell ref="I60:J60"/>
    <mergeCell ref="B61:C61"/>
    <mergeCell ref="D61:E61"/>
    <mergeCell ref="F61:G61"/>
    <mergeCell ref="I61:J61"/>
    <mergeCell ref="B62:C62"/>
    <mergeCell ref="D62:E62"/>
    <mergeCell ref="F62:G62"/>
    <mergeCell ref="I62:J62"/>
    <mergeCell ref="B63:C63"/>
    <mergeCell ref="D63:E63"/>
    <mergeCell ref="F63:G63"/>
    <mergeCell ref="I63:J63"/>
    <mergeCell ref="B64:C64"/>
    <mergeCell ref="D64:E64"/>
    <mergeCell ref="F64:G64"/>
    <mergeCell ref="I64:J64"/>
    <mergeCell ref="B65:C65"/>
    <mergeCell ref="D65:E65"/>
    <mergeCell ref="F65:G65"/>
    <mergeCell ref="I65:J65"/>
    <mergeCell ref="B66:C66"/>
    <mergeCell ref="D66:E66"/>
    <mergeCell ref="F66:G66"/>
    <mergeCell ref="I66:J66"/>
    <mergeCell ref="B67:C67"/>
    <mergeCell ref="D67:E67"/>
    <mergeCell ref="F67:G67"/>
    <mergeCell ref="I67:J67"/>
    <mergeCell ref="B68:C68"/>
    <mergeCell ref="D68:E68"/>
    <mergeCell ref="F68:G68"/>
    <mergeCell ref="I68:J68"/>
    <mergeCell ref="B69:C69"/>
    <mergeCell ref="D69:E69"/>
    <mergeCell ref="F69:G69"/>
    <mergeCell ref="I69:J69"/>
    <mergeCell ref="B70:C70"/>
    <mergeCell ref="D70:E70"/>
    <mergeCell ref="F70:G70"/>
    <mergeCell ref="I70:J70"/>
    <mergeCell ref="B71:C71"/>
    <mergeCell ref="D71:E71"/>
    <mergeCell ref="F71:G71"/>
    <mergeCell ref="I71:J71"/>
    <mergeCell ref="B72:C72"/>
    <mergeCell ref="D72:E72"/>
    <mergeCell ref="F72:G72"/>
    <mergeCell ref="I72:J72"/>
    <mergeCell ref="B73:C73"/>
    <mergeCell ref="D73:E73"/>
    <mergeCell ref="F73:G73"/>
    <mergeCell ref="I73:J73"/>
    <mergeCell ref="B74:C74"/>
    <mergeCell ref="D74:E74"/>
    <mergeCell ref="F74:G74"/>
    <mergeCell ref="I74:J74"/>
    <mergeCell ref="B75:C75"/>
    <mergeCell ref="D75:E75"/>
    <mergeCell ref="F75:G75"/>
    <mergeCell ref="I75:J75"/>
    <mergeCell ref="B76:C76"/>
    <mergeCell ref="D76:E76"/>
    <mergeCell ref="F76:G76"/>
    <mergeCell ref="I76:J76"/>
    <mergeCell ref="B77:C77"/>
    <mergeCell ref="D77:E77"/>
    <mergeCell ref="F77:G77"/>
    <mergeCell ref="I77:J77"/>
    <mergeCell ref="B78:C78"/>
    <mergeCell ref="D78:E78"/>
    <mergeCell ref="F78:G78"/>
    <mergeCell ref="I78:J78"/>
    <mergeCell ref="B79:C79"/>
    <mergeCell ref="D79:E79"/>
    <mergeCell ref="F79:G79"/>
    <mergeCell ref="I79:J79"/>
    <mergeCell ref="C86:K86"/>
    <mergeCell ref="C87:K87"/>
    <mergeCell ref="B88:K88"/>
    <mergeCell ref="B89:K89"/>
    <mergeCell ref="B90:K90"/>
    <mergeCell ref="B91:K91"/>
    <mergeCell ref="B92:K92"/>
    <mergeCell ref="B93:K93"/>
    <mergeCell ref="B80:C80"/>
    <mergeCell ref="D80:E80"/>
    <mergeCell ref="F80:G80"/>
    <mergeCell ref="I80:J80"/>
    <mergeCell ref="B81:K81"/>
    <mergeCell ref="B82:K82"/>
    <mergeCell ref="B83:K83"/>
    <mergeCell ref="B84:K84"/>
    <mergeCell ref="C85:K85"/>
  </mergeCells>
  <pageMargins left="0.7" right="0.7" top="0.75" bottom="0.75" header="0.3" footer="0.3"/>
  <pageSetup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zoomScale="113" zoomScaleNormal="113" workbookViewId="0"/>
  </sheetViews>
  <sheetFormatPr baseColWidth="10" defaultColWidth="10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94"/>
  <sheetViews>
    <sheetView tabSelected="1" zoomScale="140" zoomScaleNormal="140" workbookViewId="0">
      <pane xSplit="11" topLeftCell="L1" activePane="topRight" state="frozen"/>
      <selection pane="topRight" activeCell="L11" sqref="L11"/>
    </sheetView>
  </sheetViews>
  <sheetFormatPr baseColWidth="10" defaultColWidth="11.42578125" defaultRowHeight="9"/>
  <cols>
    <col min="1" max="1" width="1.85546875" style="1" customWidth="1"/>
    <col min="2" max="2" width="14.42578125" style="1" customWidth="1"/>
    <col min="3" max="3" width="11.42578125" style="1"/>
    <col min="4" max="4" width="6.85546875" style="2" customWidth="1"/>
    <col min="5" max="5" width="2.5703125" style="2" customWidth="1"/>
    <col min="6" max="6" width="7.85546875" style="2" customWidth="1"/>
    <col min="7" max="7" width="2.42578125" style="2" customWidth="1"/>
    <col min="8" max="8" width="8.7109375" style="2" customWidth="1"/>
    <col min="9" max="9" width="7.7109375" style="2" customWidth="1"/>
    <col min="10" max="10" width="0.85546875" style="2" hidden="1" customWidth="1"/>
    <col min="11" max="11" width="8" style="2" customWidth="1"/>
    <col min="12" max="13" width="10.28515625" style="3" customWidth="1"/>
    <col min="14" max="14" width="12.5703125" style="3" customWidth="1"/>
    <col min="15" max="15" width="10.28515625" style="3" customWidth="1"/>
    <col min="16" max="16384" width="11.42578125" style="1"/>
  </cols>
  <sheetData>
    <row r="1" spans="2:15" ht="8.25" customHeight="1"/>
    <row r="2" spans="2:15" ht="11.25">
      <c r="B2" s="4"/>
    </row>
    <row r="3" spans="2:15" ht="12">
      <c r="B3" s="74" t="s">
        <v>0</v>
      </c>
      <c r="C3" s="75"/>
      <c r="D3" s="75"/>
      <c r="E3" s="75"/>
      <c r="F3" s="75"/>
      <c r="G3" s="75"/>
      <c r="H3" s="75"/>
      <c r="I3" s="75"/>
      <c r="J3" s="75"/>
      <c r="K3" s="76"/>
      <c r="L3" s="12"/>
      <c r="M3" s="12"/>
      <c r="N3" s="12"/>
      <c r="O3" s="12"/>
    </row>
    <row r="4" spans="2:15" ht="17.45" customHeight="1">
      <c r="B4" s="77" t="s">
        <v>1</v>
      </c>
      <c r="C4" s="78"/>
      <c r="D4" s="78"/>
      <c r="E4" s="78"/>
      <c r="F4" s="78"/>
      <c r="G4" s="78"/>
      <c r="H4" s="78"/>
      <c r="I4" s="78"/>
      <c r="J4" s="78"/>
      <c r="K4" s="79"/>
      <c r="L4" s="13">
        <v>1</v>
      </c>
      <c r="M4" s="13">
        <v>2</v>
      </c>
      <c r="N4" s="13">
        <v>3</v>
      </c>
      <c r="O4" s="13">
        <v>4</v>
      </c>
    </row>
    <row r="5" spans="2:15" ht="12" customHeight="1">
      <c r="B5" s="121" t="s">
        <v>3</v>
      </c>
      <c r="C5" s="121"/>
      <c r="D5" s="121"/>
      <c r="E5" s="121"/>
      <c r="F5" s="121"/>
      <c r="G5" s="121"/>
      <c r="H5" s="121"/>
      <c r="I5" s="121"/>
      <c r="J5" s="121"/>
      <c r="K5" s="121"/>
      <c r="L5" s="12"/>
      <c r="M5" s="12"/>
      <c r="N5" s="12"/>
      <c r="O5" s="12"/>
    </row>
    <row r="6" spans="2:15" ht="112.5">
      <c r="B6" s="66" t="s">
        <v>4</v>
      </c>
      <c r="C6" s="66"/>
      <c r="D6" s="66"/>
      <c r="E6" s="65"/>
      <c r="F6" s="65"/>
      <c r="G6" s="65"/>
      <c r="H6" s="65"/>
      <c r="I6" s="65"/>
      <c r="J6" s="65"/>
      <c r="K6" s="65"/>
      <c r="L6" s="14" t="s">
        <v>201</v>
      </c>
      <c r="M6" s="14" t="s">
        <v>201</v>
      </c>
      <c r="N6" s="14" t="s">
        <v>201</v>
      </c>
      <c r="O6" s="14" t="s">
        <v>201</v>
      </c>
    </row>
    <row r="7" spans="2:15" ht="11.25">
      <c r="B7" s="66" t="s">
        <v>5</v>
      </c>
      <c r="C7" s="66"/>
      <c r="D7" s="66"/>
      <c r="E7" s="65"/>
      <c r="F7" s="65"/>
      <c r="G7" s="65"/>
      <c r="H7" s="65"/>
      <c r="I7" s="65"/>
      <c r="J7" s="65"/>
      <c r="K7" s="65"/>
      <c r="L7" s="15">
        <v>1</v>
      </c>
      <c r="M7" s="15">
        <v>1</v>
      </c>
      <c r="N7" s="15">
        <v>1</v>
      </c>
      <c r="O7" s="15">
        <v>1</v>
      </c>
    </row>
    <row r="8" spans="2:15" ht="11.25">
      <c r="B8" s="66" t="s">
        <v>6</v>
      </c>
      <c r="C8" s="66"/>
      <c r="D8" s="66"/>
      <c r="E8" s="65"/>
      <c r="F8" s="65"/>
      <c r="G8" s="65"/>
      <c r="H8" s="65"/>
      <c r="I8" s="65"/>
      <c r="J8" s="65"/>
      <c r="K8" s="65"/>
      <c r="L8" s="16" t="s">
        <v>202</v>
      </c>
      <c r="M8" s="16" t="s">
        <v>202</v>
      </c>
      <c r="N8" s="16" t="s">
        <v>202</v>
      </c>
      <c r="O8" s="16" t="s">
        <v>202</v>
      </c>
    </row>
    <row r="9" spans="2:15" ht="33.75">
      <c r="B9" s="66" t="s">
        <v>7</v>
      </c>
      <c r="C9" s="66"/>
      <c r="D9" s="66"/>
      <c r="E9" s="65"/>
      <c r="F9" s="65"/>
      <c r="G9" s="65"/>
      <c r="H9" s="65"/>
      <c r="I9" s="65"/>
      <c r="J9" s="65"/>
      <c r="K9" s="65"/>
      <c r="L9" s="14" t="s">
        <v>203</v>
      </c>
      <c r="M9" s="14" t="s">
        <v>203</v>
      </c>
      <c r="N9" s="14" t="s">
        <v>204</v>
      </c>
      <c r="O9" s="14" t="s">
        <v>205</v>
      </c>
    </row>
    <row r="10" spans="2:15" ht="33.75">
      <c r="B10" s="66" t="s">
        <v>8</v>
      </c>
      <c r="C10" s="66"/>
      <c r="D10" s="66"/>
      <c r="E10" s="65"/>
      <c r="F10" s="65"/>
      <c r="G10" s="65"/>
      <c r="H10" s="65"/>
      <c r="I10" s="65"/>
      <c r="J10" s="65"/>
      <c r="K10" s="65"/>
      <c r="L10" s="14" t="s">
        <v>191</v>
      </c>
      <c r="M10" s="14" t="s">
        <v>191</v>
      </c>
      <c r="N10" s="14" t="s">
        <v>191</v>
      </c>
      <c r="O10" s="14" t="s">
        <v>191</v>
      </c>
    </row>
    <row r="11" spans="2:15" ht="11.25">
      <c r="B11" s="66" t="s">
        <v>9</v>
      </c>
      <c r="C11" s="66"/>
      <c r="D11" s="66"/>
      <c r="E11" s="65"/>
      <c r="F11" s="65"/>
      <c r="G11" s="65"/>
      <c r="H11" s="65"/>
      <c r="I11" s="65"/>
      <c r="J11" s="65"/>
      <c r="K11" s="65"/>
      <c r="L11" s="16">
        <v>45925</v>
      </c>
      <c r="M11" s="16" t="s">
        <v>206</v>
      </c>
      <c r="N11" s="16" t="s">
        <v>202</v>
      </c>
      <c r="O11" s="16" t="s">
        <v>207</v>
      </c>
    </row>
    <row r="12" spans="2:15" ht="16.149999999999999" customHeight="1">
      <c r="B12" s="66" t="s">
        <v>10</v>
      </c>
      <c r="C12" s="66"/>
      <c r="D12" s="66"/>
      <c r="E12" s="65"/>
      <c r="F12" s="65"/>
      <c r="G12" s="65"/>
      <c r="H12" s="65"/>
      <c r="I12" s="65"/>
      <c r="J12" s="65"/>
      <c r="K12" s="65"/>
      <c r="L12" s="15" t="s">
        <v>208</v>
      </c>
      <c r="M12" s="15" t="s">
        <v>209</v>
      </c>
      <c r="N12" s="15" t="s">
        <v>210</v>
      </c>
      <c r="O12" s="15" t="s">
        <v>211</v>
      </c>
    </row>
    <row r="13" spans="2:15" ht="13.15" customHeight="1">
      <c r="B13" s="66" t="s">
        <v>11</v>
      </c>
      <c r="C13" s="66"/>
      <c r="D13" s="66"/>
      <c r="E13" s="65"/>
      <c r="F13" s="65"/>
      <c r="G13" s="65"/>
      <c r="H13" s="65"/>
      <c r="I13" s="65"/>
      <c r="J13" s="65"/>
      <c r="K13" s="65"/>
      <c r="L13" s="15" t="s">
        <v>212</v>
      </c>
      <c r="M13" s="15" t="s">
        <v>213</v>
      </c>
      <c r="N13" s="15" t="s">
        <v>214</v>
      </c>
      <c r="O13" s="15" t="s">
        <v>215</v>
      </c>
    </row>
    <row r="14" spans="2:15" ht="33.6" customHeight="1">
      <c r="B14" s="66" t="s">
        <v>12</v>
      </c>
      <c r="C14" s="66"/>
      <c r="D14" s="66"/>
      <c r="E14" s="65"/>
      <c r="F14" s="65"/>
      <c r="G14" s="65"/>
      <c r="H14" s="65"/>
      <c r="I14" s="65"/>
      <c r="J14" s="65"/>
      <c r="K14" s="65"/>
      <c r="L14" s="14" t="s">
        <v>216</v>
      </c>
      <c r="M14" s="14" t="s">
        <v>217</v>
      </c>
      <c r="N14" s="14" t="s">
        <v>218</v>
      </c>
      <c r="O14" s="14" t="s">
        <v>219</v>
      </c>
    </row>
    <row r="15" spans="2:15" ht="11.25" customHeight="1">
      <c r="B15" s="66" t="s">
        <v>13</v>
      </c>
      <c r="C15" s="66"/>
      <c r="D15" s="66"/>
      <c r="E15" s="65"/>
      <c r="F15" s="65"/>
      <c r="G15" s="65"/>
      <c r="H15" s="65"/>
      <c r="I15" s="65"/>
      <c r="J15" s="65"/>
      <c r="K15" s="65"/>
      <c r="L15" s="15" t="s">
        <v>220</v>
      </c>
      <c r="M15" s="15" t="s">
        <v>221</v>
      </c>
      <c r="N15" s="15" t="s">
        <v>222</v>
      </c>
      <c r="O15" s="15" t="s">
        <v>223</v>
      </c>
    </row>
    <row r="16" spans="2:15">
      <c r="B16" s="121" t="s">
        <v>14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"/>
      <c r="M16" s="12"/>
      <c r="N16" s="12"/>
      <c r="O16" s="12"/>
    </row>
    <row r="17" spans="2:15" ht="28.5" customHeight="1">
      <c r="B17" s="71" t="s">
        <v>15</v>
      </c>
      <c r="C17" s="71"/>
      <c r="D17" s="70" t="s">
        <v>16</v>
      </c>
      <c r="E17" s="70"/>
      <c r="F17" s="70" t="s">
        <v>17</v>
      </c>
      <c r="G17" s="70"/>
      <c r="H17" s="6" t="s">
        <v>18</v>
      </c>
      <c r="I17" s="6" t="s">
        <v>19</v>
      </c>
      <c r="J17" s="6"/>
      <c r="K17" s="6" t="s">
        <v>20</v>
      </c>
      <c r="L17" s="12"/>
      <c r="M17" s="12"/>
      <c r="N17" s="12"/>
      <c r="O17" s="12"/>
    </row>
    <row r="18" spans="2:15" ht="10.5">
      <c r="B18" s="66" t="s">
        <v>21</v>
      </c>
      <c r="C18" s="66"/>
      <c r="D18" s="65">
        <v>0.25</v>
      </c>
      <c r="E18" s="65"/>
      <c r="F18" s="67"/>
      <c r="G18" s="67"/>
      <c r="H18" s="8"/>
      <c r="I18" s="65">
        <v>0</v>
      </c>
      <c r="J18" s="65"/>
      <c r="K18" s="7"/>
      <c r="L18" s="17">
        <v>0.25</v>
      </c>
      <c r="M18" s="17">
        <v>0.25</v>
      </c>
      <c r="N18" s="17">
        <v>0.25</v>
      </c>
      <c r="O18" s="17">
        <v>0.25</v>
      </c>
    </row>
    <row r="19" spans="2:15" ht="12" customHeight="1">
      <c r="B19" s="66" t="s">
        <v>22</v>
      </c>
      <c r="C19" s="66"/>
      <c r="D19" s="65">
        <v>0.25</v>
      </c>
      <c r="E19" s="65"/>
      <c r="F19" s="73"/>
      <c r="G19" s="73"/>
      <c r="H19" s="8"/>
      <c r="I19" s="65">
        <v>0</v>
      </c>
      <c r="J19" s="65"/>
      <c r="K19" s="7"/>
      <c r="L19" s="17">
        <v>0.25</v>
      </c>
      <c r="M19" s="17">
        <v>0.25</v>
      </c>
      <c r="N19" s="17">
        <v>0.25</v>
      </c>
      <c r="O19" s="17">
        <v>0.25</v>
      </c>
    </row>
    <row r="20" spans="2:15" ht="10.5">
      <c r="B20" s="66" t="s">
        <v>23</v>
      </c>
      <c r="C20" s="66"/>
      <c r="D20" s="65">
        <v>0.25</v>
      </c>
      <c r="E20" s="65"/>
      <c r="F20" s="73"/>
      <c r="G20" s="73"/>
      <c r="H20" s="8"/>
      <c r="I20" s="65">
        <v>0</v>
      </c>
      <c r="J20" s="65"/>
      <c r="K20" s="7" t="s">
        <v>24</v>
      </c>
      <c r="L20" s="17">
        <v>0.25</v>
      </c>
      <c r="M20" s="17">
        <v>0.25</v>
      </c>
      <c r="N20" s="17">
        <v>0.25</v>
      </c>
      <c r="O20" s="17">
        <v>0.25</v>
      </c>
    </row>
    <row r="21" spans="2:15" ht="15" customHeight="1">
      <c r="B21" s="66" t="s">
        <v>25</v>
      </c>
      <c r="C21" s="66"/>
      <c r="D21" s="65">
        <v>0.25</v>
      </c>
      <c r="E21" s="65"/>
      <c r="F21" s="73"/>
      <c r="G21" s="73"/>
      <c r="H21" s="8"/>
      <c r="I21" s="65">
        <v>0</v>
      </c>
      <c r="J21" s="65"/>
      <c r="K21" s="7"/>
      <c r="L21" s="17">
        <v>0.25</v>
      </c>
      <c r="M21" s="17">
        <v>0.25</v>
      </c>
      <c r="N21" s="17">
        <v>0.25</v>
      </c>
      <c r="O21" s="17">
        <v>0.25</v>
      </c>
    </row>
    <row r="22" spans="2:15" ht="10.5">
      <c r="B22" s="66" t="s">
        <v>26</v>
      </c>
      <c r="C22" s="66"/>
      <c r="D22" s="65">
        <v>0.25</v>
      </c>
      <c r="E22" s="65"/>
      <c r="F22" s="73"/>
      <c r="G22" s="73"/>
      <c r="H22" s="8"/>
      <c r="I22" s="65">
        <v>0</v>
      </c>
      <c r="J22" s="65"/>
      <c r="K22" s="7"/>
      <c r="L22" s="17">
        <v>0.25</v>
      </c>
      <c r="M22" s="17">
        <v>0.25</v>
      </c>
      <c r="N22" s="17">
        <v>0.25</v>
      </c>
      <c r="O22" s="17">
        <v>0.25</v>
      </c>
    </row>
    <row r="23" spans="2:15" ht="10.5">
      <c r="B23" s="66" t="s">
        <v>27</v>
      </c>
      <c r="C23" s="66"/>
      <c r="D23" s="65">
        <v>0.25</v>
      </c>
      <c r="E23" s="65"/>
      <c r="F23" s="73"/>
      <c r="G23" s="73"/>
      <c r="H23" s="8"/>
      <c r="I23" s="65">
        <v>0</v>
      </c>
      <c r="J23" s="65"/>
      <c r="K23" s="7"/>
      <c r="L23" s="17">
        <v>0.25</v>
      </c>
      <c r="M23" s="17">
        <v>0.25</v>
      </c>
      <c r="N23" s="17">
        <v>0.25</v>
      </c>
      <c r="O23" s="17">
        <v>0.25</v>
      </c>
    </row>
    <row r="24" spans="2:15" ht="10.5">
      <c r="B24" s="66" t="s">
        <v>28</v>
      </c>
      <c r="C24" s="66"/>
      <c r="D24" s="65">
        <v>0.25</v>
      </c>
      <c r="E24" s="65"/>
      <c r="F24" s="73"/>
      <c r="G24" s="73"/>
      <c r="H24" s="8"/>
      <c r="I24" s="65">
        <v>0</v>
      </c>
      <c r="J24" s="65"/>
      <c r="K24" s="7"/>
      <c r="L24" s="17">
        <v>0.25</v>
      </c>
      <c r="M24" s="17">
        <v>0.25</v>
      </c>
      <c r="N24" s="17">
        <v>0.25</v>
      </c>
      <c r="O24" s="17">
        <v>0.25</v>
      </c>
    </row>
    <row r="25" spans="2:15" ht="12" customHeight="1">
      <c r="B25" s="66" t="s">
        <v>29</v>
      </c>
      <c r="C25" s="66"/>
      <c r="D25" s="65">
        <v>0.25</v>
      </c>
      <c r="E25" s="65"/>
      <c r="F25" s="73"/>
      <c r="G25" s="73"/>
      <c r="H25" s="8"/>
      <c r="I25" s="65">
        <v>0</v>
      </c>
      <c r="J25" s="65"/>
      <c r="K25" s="7"/>
      <c r="L25" s="17">
        <v>0.25</v>
      </c>
      <c r="M25" s="17">
        <v>0.25</v>
      </c>
      <c r="N25" s="17">
        <v>0.25</v>
      </c>
      <c r="O25" s="17">
        <v>0.25</v>
      </c>
    </row>
    <row r="26" spans="2:15" ht="12.75" customHeight="1">
      <c r="B26" s="66" t="s">
        <v>30</v>
      </c>
      <c r="C26" s="66"/>
      <c r="D26" s="65">
        <v>0.25</v>
      </c>
      <c r="E26" s="65"/>
      <c r="F26" s="73"/>
      <c r="G26" s="73"/>
      <c r="H26" s="8"/>
      <c r="I26" s="65">
        <v>0</v>
      </c>
      <c r="J26" s="65"/>
      <c r="K26" s="7"/>
      <c r="L26" s="17">
        <v>0.25</v>
      </c>
      <c r="M26" s="17">
        <v>0.25</v>
      </c>
      <c r="N26" s="17">
        <v>0.25</v>
      </c>
      <c r="O26" s="17">
        <v>0.25</v>
      </c>
    </row>
    <row r="27" spans="2:15" ht="10.5">
      <c r="B27" s="66" t="s">
        <v>31</v>
      </c>
      <c r="C27" s="66"/>
      <c r="D27" s="65">
        <v>0.25</v>
      </c>
      <c r="E27" s="65"/>
      <c r="F27" s="73"/>
      <c r="G27" s="73"/>
      <c r="H27" s="8"/>
      <c r="I27" s="65">
        <v>0</v>
      </c>
      <c r="J27" s="65"/>
      <c r="K27" s="7"/>
      <c r="L27" s="17">
        <v>0.25</v>
      </c>
      <c r="M27" s="17">
        <v>0.25</v>
      </c>
      <c r="N27" s="17">
        <v>0.25</v>
      </c>
      <c r="O27" s="17">
        <v>0.25</v>
      </c>
    </row>
    <row r="28" spans="2:15" ht="10.5">
      <c r="B28" s="66" t="s">
        <v>32</v>
      </c>
      <c r="C28" s="66"/>
      <c r="D28" s="65">
        <v>0.25</v>
      </c>
      <c r="E28" s="65"/>
      <c r="F28" s="73"/>
      <c r="G28" s="73"/>
      <c r="H28" s="8"/>
      <c r="I28" s="65">
        <v>0</v>
      </c>
      <c r="J28" s="65"/>
      <c r="K28" s="7"/>
      <c r="L28" s="17">
        <v>0.25</v>
      </c>
      <c r="M28" s="17">
        <v>0.25</v>
      </c>
      <c r="N28" s="17">
        <v>0.25</v>
      </c>
      <c r="O28" s="17">
        <v>0.25</v>
      </c>
    </row>
    <row r="29" spans="2:15" ht="10.5">
      <c r="B29" s="66" t="s">
        <v>33</v>
      </c>
      <c r="C29" s="66"/>
      <c r="D29" s="65">
        <v>0.25</v>
      </c>
      <c r="E29" s="65"/>
      <c r="F29" s="73"/>
      <c r="G29" s="73"/>
      <c r="H29" s="8"/>
      <c r="I29" s="65">
        <v>0</v>
      </c>
      <c r="J29" s="65"/>
      <c r="K29" s="7"/>
      <c r="L29" s="17">
        <v>0</v>
      </c>
      <c r="M29" s="17">
        <v>0.25</v>
      </c>
      <c r="N29" s="17">
        <v>0.25</v>
      </c>
      <c r="O29" s="17">
        <v>0.25</v>
      </c>
    </row>
    <row r="30" spans="2:15" ht="12" customHeight="1">
      <c r="B30" s="66" t="s">
        <v>34</v>
      </c>
      <c r="C30" s="66"/>
      <c r="D30" s="65">
        <v>0.25</v>
      </c>
      <c r="E30" s="65"/>
      <c r="F30" s="73"/>
      <c r="G30" s="73"/>
      <c r="H30" s="8"/>
      <c r="I30" s="65">
        <v>0</v>
      </c>
      <c r="J30" s="65"/>
      <c r="K30" s="7"/>
      <c r="L30" s="17">
        <v>0</v>
      </c>
      <c r="M30" s="17">
        <v>0.25</v>
      </c>
      <c r="N30" s="17">
        <v>0.25</v>
      </c>
      <c r="O30" s="17">
        <v>0.25</v>
      </c>
    </row>
    <row r="31" spans="2:15" ht="10.5" customHeight="1">
      <c r="B31" s="66" t="s">
        <v>35</v>
      </c>
      <c r="C31" s="66"/>
      <c r="D31" s="65">
        <v>0.25</v>
      </c>
      <c r="E31" s="65"/>
      <c r="F31" s="73"/>
      <c r="G31" s="73"/>
      <c r="H31" s="8"/>
      <c r="I31" s="65">
        <v>0</v>
      </c>
      <c r="J31" s="65"/>
      <c r="K31" s="7"/>
      <c r="L31" s="17">
        <v>0.25</v>
      </c>
      <c r="M31" s="17">
        <v>0.25</v>
      </c>
      <c r="N31" s="17">
        <v>0.25</v>
      </c>
      <c r="O31" s="17">
        <v>0.25</v>
      </c>
    </row>
    <row r="32" spans="2:15" ht="12" customHeight="1">
      <c r="B32" s="66" t="s">
        <v>36</v>
      </c>
      <c r="C32" s="66"/>
      <c r="D32" s="65">
        <v>0.25</v>
      </c>
      <c r="E32" s="65"/>
      <c r="F32" s="73"/>
      <c r="G32" s="73"/>
      <c r="H32" s="8"/>
      <c r="I32" s="65">
        <v>0</v>
      </c>
      <c r="J32" s="65"/>
      <c r="K32" s="7"/>
      <c r="L32" s="17">
        <v>0</v>
      </c>
      <c r="M32" s="17">
        <v>0</v>
      </c>
      <c r="N32" s="17">
        <v>0</v>
      </c>
      <c r="O32" s="17">
        <v>0</v>
      </c>
    </row>
    <row r="33" spans="2:15" ht="25.5" customHeight="1">
      <c r="B33" s="66" t="s">
        <v>37</v>
      </c>
      <c r="C33" s="66"/>
      <c r="D33" s="65">
        <v>0.25</v>
      </c>
      <c r="E33" s="65"/>
      <c r="F33" s="73"/>
      <c r="G33" s="73"/>
      <c r="H33" s="8"/>
      <c r="I33" s="65">
        <v>0</v>
      </c>
      <c r="J33" s="65"/>
      <c r="K33" s="7"/>
      <c r="L33" s="17">
        <v>0</v>
      </c>
      <c r="M33" s="17">
        <v>0</v>
      </c>
      <c r="N33" s="17">
        <v>0</v>
      </c>
      <c r="O33" s="17">
        <v>0</v>
      </c>
    </row>
    <row r="34" spans="2:15" ht="12" customHeight="1">
      <c r="B34" s="68" t="s">
        <v>38</v>
      </c>
      <c r="C34" s="68"/>
      <c r="D34" s="61">
        <v>4</v>
      </c>
      <c r="E34" s="61"/>
      <c r="F34" s="61"/>
      <c r="G34" s="61"/>
      <c r="H34" s="9"/>
      <c r="I34" s="61"/>
      <c r="J34" s="61"/>
      <c r="K34" s="10"/>
      <c r="L34" s="18">
        <v>3</v>
      </c>
      <c r="M34" s="18">
        <f>SUM(M18:M33)</f>
        <v>3.5</v>
      </c>
      <c r="N34" s="18">
        <f>SUM(N18:N33)</f>
        <v>3.5</v>
      </c>
      <c r="O34" s="18">
        <f>SUM(O18:O33)</f>
        <v>3.5</v>
      </c>
    </row>
    <row r="35" spans="2:15" ht="28.5" customHeight="1">
      <c r="B35" s="71" t="s">
        <v>39</v>
      </c>
      <c r="C35" s="71"/>
      <c r="D35" s="70" t="s">
        <v>16</v>
      </c>
      <c r="E35" s="70"/>
      <c r="F35" s="70" t="s">
        <v>17</v>
      </c>
      <c r="G35" s="70"/>
      <c r="H35" s="6" t="s">
        <v>18</v>
      </c>
      <c r="I35" s="6" t="s">
        <v>19</v>
      </c>
      <c r="J35" s="6"/>
      <c r="K35" s="6" t="s">
        <v>20</v>
      </c>
      <c r="L35" s="12"/>
      <c r="M35" s="12"/>
      <c r="N35" s="12"/>
      <c r="O35" s="12"/>
    </row>
    <row r="36" spans="2:15" ht="11.25">
      <c r="B36" s="66" t="s">
        <v>40</v>
      </c>
      <c r="C36" s="66"/>
      <c r="D36" s="65">
        <v>1</v>
      </c>
      <c r="E36" s="65"/>
      <c r="F36" s="67">
        <v>0.5</v>
      </c>
      <c r="G36" s="67"/>
      <c r="H36" s="7"/>
      <c r="I36" s="67">
        <v>0</v>
      </c>
      <c r="J36" s="67"/>
      <c r="K36" s="7"/>
      <c r="L36" s="19">
        <v>1</v>
      </c>
      <c r="M36" s="19">
        <v>1</v>
      </c>
      <c r="N36" s="19">
        <v>1</v>
      </c>
      <c r="O36" s="19">
        <v>1</v>
      </c>
    </row>
    <row r="37" spans="2:15" ht="11.25">
      <c r="B37" s="66" t="s">
        <v>41</v>
      </c>
      <c r="C37" s="66"/>
      <c r="D37" s="65">
        <v>1</v>
      </c>
      <c r="E37" s="65"/>
      <c r="F37" s="67"/>
      <c r="G37" s="67"/>
      <c r="H37" s="7"/>
      <c r="I37" s="67">
        <v>0</v>
      </c>
      <c r="J37" s="67"/>
      <c r="K37" s="7"/>
      <c r="L37" s="19">
        <v>1</v>
      </c>
      <c r="M37" s="19">
        <v>1</v>
      </c>
      <c r="N37" s="19">
        <v>1</v>
      </c>
      <c r="O37" s="19">
        <v>1</v>
      </c>
    </row>
    <row r="38" spans="2:15" ht="11.25">
      <c r="B38" s="66" t="s">
        <v>42</v>
      </c>
      <c r="C38" s="66"/>
      <c r="D38" s="65">
        <v>1</v>
      </c>
      <c r="E38" s="65"/>
      <c r="F38" s="67"/>
      <c r="G38" s="67"/>
      <c r="H38" s="7"/>
      <c r="I38" s="67">
        <v>0</v>
      </c>
      <c r="J38" s="67"/>
      <c r="K38" s="7"/>
      <c r="L38" s="19">
        <v>1</v>
      </c>
      <c r="M38" s="19">
        <v>1</v>
      </c>
      <c r="N38" s="19">
        <v>1</v>
      </c>
      <c r="O38" s="19">
        <v>1</v>
      </c>
    </row>
    <row r="39" spans="2:15" ht="11.25">
      <c r="B39" s="64" t="s">
        <v>43</v>
      </c>
      <c r="C39" s="64"/>
      <c r="D39" s="65">
        <v>3</v>
      </c>
      <c r="E39" s="65"/>
      <c r="F39" s="67">
        <v>1.5</v>
      </c>
      <c r="G39" s="67"/>
      <c r="H39" s="7"/>
      <c r="I39" s="67">
        <v>0</v>
      </c>
      <c r="J39" s="67"/>
      <c r="K39" s="7"/>
      <c r="L39" s="19" t="s">
        <v>224</v>
      </c>
      <c r="M39" s="19">
        <v>3</v>
      </c>
      <c r="N39" s="19">
        <v>3</v>
      </c>
      <c r="O39" s="19">
        <v>3</v>
      </c>
    </row>
    <row r="40" spans="2:15" ht="11.25">
      <c r="B40" s="66" t="s">
        <v>44</v>
      </c>
      <c r="C40" s="66"/>
      <c r="D40" s="67">
        <v>1</v>
      </c>
      <c r="E40" s="67"/>
      <c r="F40" s="67">
        <v>0.5</v>
      </c>
      <c r="G40" s="67"/>
      <c r="H40" s="7"/>
      <c r="I40" s="67">
        <v>0</v>
      </c>
      <c r="J40" s="67"/>
      <c r="K40" s="7"/>
      <c r="L40" s="19">
        <v>1</v>
      </c>
      <c r="M40" s="19">
        <v>1</v>
      </c>
      <c r="N40" s="19">
        <v>1</v>
      </c>
      <c r="O40" s="19">
        <v>1</v>
      </c>
    </row>
    <row r="41" spans="2:15" ht="11.25">
      <c r="B41" s="66" t="s">
        <v>45</v>
      </c>
      <c r="C41" s="66"/>
      <c r="D41" s="65">
        <v>2</v>
      </c>
      <c r="E41" s="65"/>
      <c r="F41" s="67">
        <v>1</v>
      </c>
      <c r="G41" s="67"/>
      <c r="H41" s="7"/>
      <c r="I41" s="67">
        <v>0</v>
      </c>
      <c r="J41" s="67"/>
      <c r="K41" s="7"/>
      <c r="L41" s="19">
        <v>2</v>
      </c>
      <c r="M41" s="19">
        <v>2</v>
      </c>
      <c r="N41" s="19">
        <v>2</v>
      </c>
      <c r="O41" s="19">
        <v>0</v>
      </c>
    </row>
    <row r="42" spans="2:15" ht="12" customHeight="1">
      <c r="B42" s="68" t="s">
        <v>46</v>
      </c>
      <c r="C42" s="68"/>
      <c r="D42" s="61">
        <v>9</v>
      </c>
      <c r="E42" s="61"/>
      <c r="F42" s="60"/>
      <c r="G42" s="60"/>
      <c r="H42" s="10"/>
      <c r="I42" s="60"/>
      <c r="J42" s="60"/>
      <c r="K42" s="10"/>
      <c r="L42" s="18" t="s">
        <v>225</v>
      </c>
      <c r="M42" s="18">
        <f>SUM(M36:M41)</f>
        <v>9</v>
      </c>
      <c r="N42" s="18">
        <f>SUM(N36:N41)</f>
        <v>9</v>
      </c>
      <c r="O42" s="18">
        <f>SUM(O36:O41)</f>
        <v>7</v>
      </c>
    </row>
    <row r="43" spans="2:15" ht="19.5">
      <c r="B43" s="71" t="s">
        <v>47</v>
      </c>
      <c r="C43" s="71"/>
      <c r="D43" s="70" t="s">
        <v>16</v>
      </c>
      <c r="E43" s="70"/>
      <c r="F43" s="70" t="s">
        <v>17</v>
      </c>
      <c r="G43" s="70"/>
      <c r="H43" s="6" t="s">
        <v>18</v>
      </c>
      <c r="I43" s="6" t="s">
        <v>19</v>
      </c>
      <c r="J43" s="6"/>
      <c r="K43" s="6" t="s">
        <v>20</v>
      </c>
      <c r="L43" s="12"/>
      <c r="M43" s="12"/>
      <c r="N43" s="12"/>
      <c r="O43" s="12"/>
    </row>
    <row r="44" spans="2:15" ht="12.75" customHeight="1">
      <c r="B44" s="114" t="s">
        <v>48</v>
      </c>
      <c r="C44" s="115"/>
      <c r="D44" s="115"/>
      <c r="E44" s="115"/>
      <c r="F44" s="115"/>
      <c r="G44" s="115"/>
      <c r="H44" s="115"/>
      <c r="I44" s="115"/>
      <c r="J44" s="115"/>
      <c r="K44" s="116"/>
      <c r="L44" s="20"/>
      <c r="M44" s="20"/>
      <c r="N44" s="20"/>
      <c r="O44" s="20"/>
    </row>
    <row r="45" spans="2:15" ht="15" customHeight="1">
      <c r="B45" s="66" t="s">
        <v>49</v>
      </c>
      <c r="C45" s="66"/>
      <c r="D45" s="67">
        <v>2</v>
      </c>
      <c r="E45" s="67"/>
      <c r="F45" s="67">
        <v>0.5</v>
      </c>
      <c r="G45" s="67"/>
      <c r="H45" s="7"/>
      <c r="I45" s="67">
        <v>0</v>
      </c>
      <c r="J45" s="67"/>
      <c r="K45" s="7"/>
      <c r="L45" s="17">
        <v>2</v>
      </c>
      <c r="M45" s="17">
        <v>2</v>
      </c>
      <c r="N45" s="17">
        <v>2</v>
      </c>
      <c r="O45" s="17">
        <v>2</v>
      </c>
    </row>
    <row r="46" spans="2:15" ht="12" customHeight="1">
      <c r="B46" s="66" t="s">
        <v>50</v>
      </c>
      <c r="C46" s="66"/>
      <c r="D46" s="65">
        <v>1</v>
      </c>
      <c r="E46" s="65"/>
      <c r="F46" s="67">
        <v>0.5</v>
      </c>
      <c r="G46" s="67"/>
      <c r="H46" s="7"/>
      <c r="I46" s="67">
        <v>0</v>
      </c>
      <c r="J46" s="67"/>
      <c r="K46" s="7"/>
      <c r="L46" s="17">
        <v>1</v>
      </c>
      <c r="M46" s="17">
        <v>1</v>
      </c>
      <c r="N46" s="17">
        <v>1</v>
      </c>
      <c r="O46" s="17">
        <v>1</v>
      </c>
    </row>
    <row r="47" spans="2:15" ht="34.5" customHeight="1">
      <c r="B47" s="66" t="s">
        <v>51</v>
      </c>
      <c r="C47" s="66"/>
      <c r="D47" s="65">
        <v>2</v>
      </c>
      <c r="E47" s="65"/>
      <c r="F47" s="67">
        <v>1</v>
      </c>
      <c r="G47" s="67"/>
      <c r="H47" s="7"/>
      <c r="I47" s="67">
        <v>0</v>
      </c>
      <c r="J47" s="67"/>
      <c r="K47" s="7"/>
      <c r="L47" s="17">
        <v>2</v>
      </c>
      <c r="M47" s="17">
        <v>2</v>
      </c>
      <c r="N47" s="17">
        <v>2</v>
      </c>
      <c r="O47" s="17">
        <v>2</v>
      </c>
    </row>
    <row r="48" spans="2:15" ht="11.25" customHeight="1">
      <c r="B48" s="66" t="s">
        <v>52</v>
      </c>
      <c r="C48" s="66"/>
      <c r="D48" s="67">
        <v>4</v>
      </c>
      <c r="E48" s="67"/>
      <c r="F48" s="67">
        <v>2</v>
      </c>
      <c r="G48" s="67"/>
      <c r="H48" s="7"/>
      <c r="I48" s="67">
        <v>0</v>
      </c>
      <c r="J48" s="67"/>
      <c r="K48" s="7"/>
      <c r="L48" s="17">
        <v>4</v>
      </c>
      <c r="M48" s="17">
        <v>4</v>
      </c>
      <c r="N48" s="17">
        <v>4</v>
      </c>
      <c r="O48" s="17">
        <v>4</v>
      </c>
    </row>
    <row r="49" spans="2:15" ht="11.25">
      <c r="B49" s="68" t="s">
        <v>46</v>
      </c>
      <c r="C49" s="68"/>
      <c r="D49" s="60">
        <v>9</v>
      </c>
      <c r="E49" s="60"/>
      <c r="F49" s="60"/>
      <c r="G49" s="60"/>
      <c r="H49" s="10"/>
      <c r="I49" s="60"/>
      <c r="J49" s="60"/>
      <c r="K49" s="10"/>
      <c r="L49" s="18">
        <v>9</v>
      </c>
      <c r="M49" s="18">
        <f>SUM(M45:M48)</f>
        <v>9</v>
      </c>
      <c r="N49" s="18">
        <f>SUM(N45:N48)</f>
        <v>9</v>
      </c>
      <c r="O49" s="18">
        <f>SUM(O45:O48)</f>
        <v>9</v>
      </c>
    </row>
    <row r="50" spans="2:15" ht="9.75">
      <c r="B50" s="71" t="s">
        <v>53</v>
      </c>
      <c r="C50" s="71"/>
      <c r="D50" s="70" t="s">
        <v>16</v>
      </c>
      <c r="E50" s="70"/>
      <c r="F50" s="72" t="s">
        <v>17</v>
      </c>
      <c r="G50" s="72"/>
      <c r="H50" s="11" t="s">
        <v>18</v>
      </c>
      <c r="I50" s="72" t="s">
        <v>19</v>
      </c>
      <c r="J50" s="72"/>
      <c r="K50" s="11" t="s">
        <v>20</v>
      </c>
      <c r="L50" s="12"/>
      <c r="M50" s="12"/>
      <c r="N50" s="12"/>
      <c r="O50" s="12"/>
    </row>
    <row r="51" spans="2:15" ht="12" customHeight="1">
      <c r="B51" s="66" t="s">
        <v>54</v>
      </c>
      <c r="C51" s="66"/>
      <c r="D51" s="67">
        <v>8</v>
      </c>
      <c r="E51" s="67"/>
      <c r="F51" s="67">
        <v>4</v>
      </c>
      <c r="G51" s="67"/>
      <c r="H51" s="7"/>
      <c r="I51" s="67">
        <v>0</v>
      </c>
      <c r="J51" s="67"/>
      <c r="K51" s="7" t="s">
        <v>24</v>
      </c>
      <c r="L51" s="17" t="s">
        <v>24</v>
      </c>
      <c r="M51" s="17" t="s">
        <v>24</v>
      </c>
      <c r="N51" s="17" t="s">
        <v>24</v>
      </c>
      <c r="O51" s="17" t="s">
        <v>24</v>
      </c>
    </row>
    <row r="52" spans="2:15" ht="12" customHeight="1">
      <c r="B52" s="66" t="s">
        <v>55</v>
      </c>
      <c r="C52" s="66"/>
      <c r="D52" s="65">
        <v>8</v>
      </c>
      <c r="E52" s="65"/>
      <c r="F52" s="67">
        <v>4</v>
      </c>
      <c r="G52" s="67"/>
      <c r="H52" s="7"/>
      <c r="I52" s="67">
        <v>0</v>
      </c>
      <c r="J52" s="67"/>
      <c r="K52" s="7" t="s">
        <v>24</v>
      </c>
      <c r="L52" s="17">
        <v>8</v>
      </c>
      <c r="M52" s="17">
        <v>8</v>
      </c>
      <c r="N52" s="17">
        <v>8</v>
      </c>
      <c r="O52" s="17">
        <v>8</v>
      </c>
    </row>
    <row r="53" spans="2:15" ht="12" customHeight="1">
      <c r="B53" s="66" t="s">
        <v>56</v>
      </c>
      <c r="C53" s="66"/>
      <c r="D53" s="67">
        <v>4</v>
      </c>
      <c r="E53" s="67"/>
      <c r="F53" s="67"/>
      <c r="G53" s="67"/>
      <c r="H53" s="7"/>
      <c r="I53" s="67">
        <v>0</v>
      </c>
      <c r="J53" s="67"/>
      <c r="K53" s="7"/>
      <c r="L53" s="17">
        <v>4</v>
      </c>
      <c r="M53" s="17">
        <v>4</v>
      </c>
      <c r="N53" s="17">
        <v>4</v>
      </c>
      <c r="O53" s="17">
        <v>4</v>
      </c>
    </row>
    <row r="54" spans="2:15" ht="12" customHeight="1">
      <c r="B54" s="68" t="s">
        <v>46</v>
      </c>
      <c r="C54" s="68"/>
      <c r="D54" s="60">
        <v>20</v>
      </c>
      <c r="E54" s="60"/>
      <c r="F54" s="60"/>
      <c r="G54" s="60"/>
      <c r="H54" s="10"/>
      <c r="I54" s="60"/>
      <c r="J54" s="60"/>
      <c r="K54" s="10"/>
      <c r="L54" s="18">
        <f>SUM(L51:L53)</f>
        <v>12</v>
      </c>
      <c r="M54" s="18">
        <f>SUM(M51:M53)</f>
        <v>12</v>
      </c>
      <c r="N54" s="18">
        <f>SUM(N51:N53)</f>
        <v>12</v>
      </c>
      <c r="O54" s="18">
        <f>SUM(O51:O53)</f>
        <v>12</v>
      </c>
    </row>
    <row r="55" spans="2:15" ht="9.75">
      <c r="B55" s="71" t="s">
        <v>57</v>
      </c>
      <c r="C55" s="71"/>
      <c r="D55" s="70" t="s">
        <v>16</v>
      </c>
      <c r="E55" s="70"/>
      <c r="F55" s="72" t="s">
        <v>17</v>
      </c>
      <c r="G55" s="72"/>
      <c r="H55" s="11" t="s">
        <v>18</v>
      </c>
      <c r="I55" s="72" t="s">
        <v>19</v>
      </c>
      <c r="J55" s="72"/>
      <c r="K55" s="11" t="s">
        <v>20</v>
      </c>
      <c r="L55" s="12"/>
      <c r="M55" s="12"/>
      <c r="N55" s="12"/>
      <c r="O55" s="12"/>
    </row>
    <row r="56" spans="2:15" ht="23.25" customHeight="1">
      <c r="B56" s="66" t="s">
        <v>58</v>
      </c>
      <c r="C56" s="66"/>
      <c r="D56" s="67">
        <v>5</v>
      </c>
      <c r="E56" s="67"/>
      <c r="F56" s="65">
        <v>1</v>
      </c>
      <c r="G56" s="65"/>
      <c r="H56" s="5">
        <v>2</v>
      </c>
      <c r="I56" s="65">
        <v>0</v>
      </c>
      <c r="J56" s="65"/>
      <c r="K56" s="5" t="s">
        <v>24</v>
      </c>
      <c r="L56" s="17" t="s">
        <v>24</v>
      </c>
      <c r="M56" s="17" t="s">
        <v>24</v>
      </c>
      <c r="N56" s="17" t="s">
        <v>24</v>
      </c>
      <c r="O56" s="17" t="s">
        <v>24</v>
      </c>
    </row>
    <row r="57" spans="2:15" ht="23.25" customHeight="1">
      <c r="B57" s="66" t="s">
        <v>59</v>
      </c>
      <c r="C57" s="66"/>
      <c r="D57" s="67">
        <v>5</v>
      </c>
      <c r="E57" s="67"/>
      <c r="F57" s="65">
        <v>1</v>
      </c>
      <c r="G57" s="65"/>
      <c r="H57" s="5">
        <v>2</v>
      </c>
      <c r="I57" s="65">
        <v>0</v>
      </c>
      <c r="J57" s="65"/>
      <c r="K57" s="5" t="s">
        <v>24</v>
      </c>
      <c r="L57" s="21" t="s">
        <v>24</v>
      </c>
      <c r="M57" s="21" t="s">
        <v>24</v>
      </c>
      <c r="N57" s="21" t="s">
        <v>24</v>
      </c>
      <c r="O57" s="21" t="s">
        <v>24</v>
      </c>
    </row>
    <row r="58" spans="2:15" ht="23.25" customHeight="1">
      <c r="B58" s="66" t="s">
        <v>60</v>
      </c>
      <c r="C58" s="66"/>
      <c r="D58" s="67">
        <v>4</v>
      </c>
      <c r="E58" s="67"/>
      <c r="F58" s="65">
        <v>1</v>
      </c>
      <c r="G58" s="65"/>
      <c r="H58" s="5">
        <v>2</v>
      </c>
      <c r="I58" s="65">
        <v>0</v>
      </c>
      <c r="J58" s="65"/>
      <c r="K58" s="5" t="s">
        <v>24</v>
      </c>
      <c r="L58" s="17">
        <v>4</v>
      </c>
      <c r="M58" s="17">
        <v>4</v>
      </c>
      <c r="N58" s="21">
        <v>4</v>
      </c>
      <c r="O58" s="21">
        <v>4</v>
      </c>
    </row>
    <row r="59" spans="2:15" ht="23.25" customHeight="1">
      <c r="B59" s="66" t="s">
        <v>61</v>
      </c>
      <c r="C59" s="66"/>
      <c r="D59" s="67">
        <v>4</v>
      </c>
      <c r="E59" s="67"/>
      <c r="F59" s="65"/>
      <c r="G59" s="65"/>
      <c r="H59" s="5"/>
      <c r="I59" s="65"/>
      <c r="J59" s="65"/>
      <c r="K59" s="5" t="s">
        <v>62</v>
      </c>
      <c r="L59" s="21" t="s">
        <v>24</v>
      </c>
      <c r="M59" s="21" t="s">
        <v>24</v>
      </c>
      <c r="N59" s="21" t="s">
        <v>24</v>
      </c>
      <c r="O59" s="21" t="s">
        <v>24</v>
      </c>
    </row>
    <row r="60" spans="2:15" ht="23.25" customHeight="1">
      <c r="B60" s="66" t="s">
        <v>63</v>
      </c>
      <c r="C60" s="66"/>
      <c r="D60" s="67">
        <v>4</v>
      </c>
      <c r="E60" s="67"/>
      <c r="F60" s="65">
        <v>1</v>
      </c>
      <c r="G60" s="65"/>
      <c r="H60" s="5">
        <v>2</v>
      </c>
      <c r="I60" s="65" t="s">
        <v>64</v>
      </c>
      <c r="J60" s="65"/>
      <c r="K60" s="5" t="s">
        <v>24</v>
      </c>
      <c r="L60" s="21">
        <v>4</v>
      </c>
      <c r="M60" s="21">
        <v>4</v>
      </c>
      <c r="N60" s="21">
        <v>4</v>
      </c>
      <c r="O60" s="21">
        <v>4</v>
      </c>
    </row>
    <row r="61" spans="2:15" ht="12.75" customHeight="1">
      <c r="B61" s="64" t="s">
        <v>65</v>
      </c>
      <c r="C61" s="64"/>
      <c r="D61" s="67">
        <v>2</v>
      </c>
      <c r="E61" s="67"/>
      <c r="F61" s="67"/>
      <c r="G61" s="67"/>
      <c r="H61" s="7"/>
      <c r="I61" s="67">
        <v>0</v>
      </c>
      <c r="J61" s="67"/>
      <c r="K61" s="7" t="s">
        <v>24</v>
      </c>
      <c r="L61" s="17">
        <v>2</v>
      </c>
      <c r="M61" s="17">
        <v>2</v>
      </c>
      <c r="N61" s="17">
        <v>2</v>
      </c>
      <c r="O61" s="17">
        <v>2</v>
      </c>
    </row>
    <row r="62" spans="2:15" ht="11.25" customHeight="1">
      <c r="B62" s="68" t="s">
        <v>38</v>
      </c>
      <c r="C62" s="68"/>
      <c r="D62" s="60">
        <v>24</v>
      </c>
      <c r="E62" s="60"/>
      <c r="F62" s="61"/>
      <c r="G62" s="61"/>
      <c r="H62" s="9"/>
      <c r="I62" s="61"/>
      <c r="J62" s="61"/>
      <c r="K62" s="10"/>
      <c r="L62" s="22">
        <f>SUM(L56:L61)</f>
        <v>10</v>
      </c>
      <c r="M62" s="22">
        <f>SUM(M56:M61)</f>
        <v>10</v>
      </c>
      <c r="N62" s="22">
        <f>SUM(N56:N61)</f>
        <v>10</v>
      </c>
      <c r="O62" s="22">
        <f>SUM(O56:O61)</f>
        <v>10</v>
      </c>
    </row>
    <row r="63" spans="2:15" ht="19.5">
      <c r="B63" s="71" t="s">
        <v>66</v>
      </c>
      <c r="C63" s="71"/>
      <c r="D63" s="72" t="s">
        <v>16</v>
      </c>
      <c r="E63" s="72"/>
      <c r="F63" s="70" t="s">
        <v>17</v>
      </c>
      <c r="G63" s="70"/>
      <c r="H63" s="6" t="s">
        <v>18</v>
      </c>
      <c r="I63" s="70" t="s">
        <v>19</v>
      </c>
      <c r="J63" s="70"/>
      <c r="K63" s="6" t="s">
        <v>20</v>
      </c>
      <c r="L63" s="12"/>
      <c r="M63" s="12"/>
      <c r="N63" s="12"/>
      <c r="O63" s="12"/>
    </row>
    <row r="64" spans="2:15" ht="24.75" customHeight="1">
      <c r="B64" s="66" t="s">
        <v>67</v>
      </c>
      <c r="C64" s="66"/>
      <c r="D64" s="65">
        <v>4</v>
      </c>
      <c r="E64" s="65"/>
      <c r="F64" s="67" t="s">
        <v>68</v>
      </c>
      <c r="G64" s="67"/>
      <c r="H64" s="7"/>
      <c r="I64" s="67">
        <v>0</v>
      </c>
      <c r="J64" s="67"/>
      <c r="K64" s="7" t="s">
        <v>24</v>
      </c>
      <c r="L64" s="17">
        <v>4</v>
      </c>
      <c r="M64" s="17">
        <v>4</v>
      </c>
      <c r="N64" s="17">
        <v>4</v>
      </c>
      <c r="O64" s="17">
        <v>4</v>
      </c>
    </row>
    <row r="65" spans="2:15" ht="34.5" customHeight="1">
      <c r="B65" s="66" t="s">
        <v>69</v>
      </c>
      <c r="C65" s="66"/>
      <c r="D65" s="65">
        <v>4</v>
      </c>
      <c r="E65" s="65"/>
      <c r="F65" s="67" t="s">
        <v>70</v>
      </c>
      <c r="G65" s="67"/>
      <c r="H65" s="7"/>
      <c r="I65" s="67">
        <v>0</v>
      </c>
      <c r="J65" s="67"/>
      <c r="K65" s="7" t="s">
        <v>24</v>
      </c>
      <c r="L65" s="17">
        <v>4</v>
      </c>
      <c r="M65" s="17">
        <v>4</v>
      </c>
      <c r="N65" s="17">
        <v>4</v>
      </c>
      <c r="O65" s="17">
        <v>4</v>
      </c>
    </row>
    <row r="66" spans="2:15" ht="12.75" customHeight="1">
      <c r="B66" s="66" t="s">
        <v>71</v>
      </c>
      <c r="C66" s="66"/>
      <c r="D66" s="65">
        <v>2</v>
      </c>
      <c r="E66" s="65"/>
      <c r="F66" s="67"/>
      <c r="G66" s="67"/>
      <c r="H66" s="7"/>
      <c r="I66" s="67">
        <v>0</v>
      </c>
      <c r="J66" s="67"/>
      <c r="K66" s="7" t="s">
        <v>24</v>
      </c>
      <c r="L66" s="17">
        <v>2</v>
      </c>
      <c r="M66" s="17">
        <v>2</v>
      </c>
      <c r="N66" s="17">
        <v>2</v>
      </c>
      <c r="O66" s="17">
        <v>2</v>
      </c>
    </row>
    <row r="67" spans="2:15" ht="12.75" customHeight="1">
      <c r="B67" s="66" t="s">
        <v>72</v>
      </c>
      <c r="C67" s="66"/>
      <c r="D67" s="65">
        <v>2</v>
      </c>
      <c r="E67" s="65"/>
      <c r="F67" s="67"/>
      <c r="G67" s="67"/>
      <c r="H67" s="7"/>
      <c r="I67" s="67">
        <v>0</v>
      </c>
      <c r="J67" s="67"/>
      <c r="K67" s="7" t="s">
        <v>24</v>
      </c>
      <c r="L67" s="17">
        <v>2</v>
      </c>
      <c r="M67" s="17">
        <v>2</v>
      </c>
      <c r="N67" s="17">
        <v>2</v>
      </c>
      <c r="O67" s="17">
        <v>2</v>
      </c>
    </row>
    <row r="68" spans="2:15" ht="9.75">
      <c r="B68" s="66" t="s">
        <v>73</v>
      </c>
      <c r="C68" s="66"/>
      <c r="D68" s="65">
        <v>2</v>
      </c>
      <c r="E68" s="65"/>
      <c r="F68" s="67"/>
      <c r="G68" s="67"/>
      <c r="H68" s="7"/>
      <c r="I68" s="67">
        <v>0</v>
      </c>
      <c r="J68" s="67"/>
      <c r="K68" s="7" t="s">
        <v>24</v>
      </c>
      <c r="L68" s="17">
        <v>2</v>
      </c>
      <c r="M68" s="17">
        <v>2</v>
      </c>
      <c r="N68" s="17">
        <v>2</v>
      </c>
      <c r="O68" s="17">
        <v>2</v>
      </c>
    </row>
    <row r="69" spans="2:15" ht="12.75" customHeight="1">
      <c r="B69" s="66" t="s">
        <v>74</v>
      </c>
      <c r="C69" s="66"/>
      <c r="D69" s="65">
        <v>2</v>
      </c>
      <c r="E69" s="65"/>
      <c r="F69" s="67"/>
      <c r="G69" s="67"/>
      <c r="H69" s="7"/>
      <c r="I69" s="67">
        <v>0</v>
      </c>
      <c r="J69" s="67"/>
      <c r="K69" s="7" t="s">
        <v>24</v>
      </c>
      <c r="L69" s="17">
        <v>2</v>
      </c>
      <c r="M69" s="17">
        <v>2</v>
      </c>
      <c r="N69" s="17">
        <v>2</v>
      </c>
      <c r="O69" s="17">
        <v>2</v>
      </c>
    </row>
    <row r="70" spans="2:15" ht="12.75" customHeight="1">
      <c r="B70" s="66" t="s">
        <v>75</v>
      </c>
      <c r="C70" s="66"/>
      <c r="D70" s="65">
        <v>1</v>
      </c>
      <c r="E70" s="65"/>
      <c r="F70" s="67" t="s">
        <v>76</v>
      </c>
      <c r="G70" s="67"/>
      <c r="H70" s="7"/>
      <c r="I70" s="67">
        <v>0</v>
      </c>
      <c r="J70" s="67"/>
      <c r="K70" s="7" t="s">
        <v>24</v>
      </c>
      <c r="L70" s="17">
        <v>1</v>
      </c>
      <c r="M70" s="17">
        <v>1</v>
      </c>
      <c r="N70" s="17">
        <v>1</v>
      </c>
      <c r="O70" s="17">
        <v>1</v>
      </c>
    </row>
    <row r="71" spans="2:15" ht="11.25">
      <c r="B71" s="68" t="s">
        <v>46</v>
      </c>
      <c r="C71" s="68"/>
      <c r="D71" s="61">
        <v>17</v>
      </c>
      <c r="E71" s="61"/>
      <c r="F71" s="60"/>
      <c r="G71" s="60"/>
      <c r="H71" s="10"/>
      <c r="I71" s="60"/>
      <c r="J71" s="60"/>
      <c r="K71" s="10"/>
      <c r="L71" s="18">
        <f>SUM(L64:L70)</f>
        <v>17</v>
      </c>
      <c r="M71" s="18">
        <v>17</v>
      </c>
      <c r="N71" s="18">
        <f>SUM(N64:N70)</f>
        <v>17</v>
      </c>
      <c r="O71" s="18">
        <f>SUM(O64:O70)</f>
        <v>17</v>
      </c>
    </row>
    <row r="72" spans="2:15" ht="10.5" customHeight="1">
      <c r="B72" s="69" t="s">
        <v>77</v>
      </c>
      <c r="C72" s="69"/>
      <c r="D72" s="70"/>
      <c r="E72" s="70"/>
      <c r="F72" s="70"/>
      <c r="G72" s="70"/>
      <c r="H72" s="6"/>
      <c r="I72" s="70"/>
      <c r="J72" s="70"/>
      <c r="K72" s="11"/>
      <c r="L72" s="12"/>
      <c r="M72" s="12"/>
      <c r="N72" s="12"/>
      <c r="O72" s="12"/>
    </row>
    <row r="73" spans="2:15" ht="31.5" customHeight="1">
      <c r="B73" s="66" t="s">
        <v>78</v>
      </c>
      <c r="C73" s="66"/>
      <c r="D73" s="65">
        <v>2</v>
      </c>
      <c r="E73" s="65"/>
      <c r="F73" s="65">
        <v>1</v>
      </c>
      <c r="G73" s="65"/>
      <c r="H73" s="5"/>
      <c r="I73" s="65" t="s">
        <v>79</v>
      </c>
      <c r="J73" s="65"/>
      <c r="K73" s="7" t="s">
        <v>24</v>
      </c>
      <c r="L73" s="17" t="s">
        <v>24</v>
      </c>
      <c r="M73" s="17" t="s">
        <v>24</v>
      </c>
      <c r="N73" s="17" t="s">
        <v>24</v>
      </c>
      <c r="O73" s="17" t="s">
        <v>24</v>
      </c>
    </row>
    <row r="74" spans="2:15" ht="9.75">
      <c r="B74" s="64" t="s">
        <v>80</v>
      </c>
      <c r="C74" s="64"/>
      <c r="D74" s="65">
        <v>1</v>
      </c>
      <c r="E74" s="65"/>
      <c r="F74" s="65"/>
      <c r="G74" s="65"/>
      <c r="H74" s="5"/>
      <c r="I74" s="65">
        <v>0</v>
      </c>
      <c r="J74" s="65"/>
      <c r="K74" s="7"/>
      <c r="L74" s="17">
        <v>1</v>
      </c>
      <c r="M74" s="17">
        <v>1</v>
      </c>
      <c r="N74" s="17">
        <v>1</v>
      </c>
      <c r="O74" s="17">
        <v>1</v>
      </c>
    </row>
    <row r="75" spans="2:15" ht="9.75">
      <c r="B75" s="66" t="s">
        <v>81</v>
      </c>
      <c r="C75" s="66"/>
      <c r="D75" s="65">
        <v>1</v>
      </c>
      <c r="E75" s="65"/>
      <c r="F75" s="65"/>
      <c r="G75" s="65"/>
      <c r="H75" s="5"/>
      <c r="I75" s="65">
        <v>0</v>
      </c>
      <c r="J75" s="65"/>
      <c r="K75" s="7"/>
      <c r="L75" s="17">
        <v>1</v>
      </c>
      <c r="M75" s="17">
        <v>1</v>
      </c>
      <c r="N75" s="17">
        <v>1</v>
      </c>
      <c r="O75" s="17">
        <v>1</v>
      </c>
    </row>
    <row r="76" spans="2:15" ht="9.75">
      <c r="B76" s="64" t="s">
        <v>82</v>
      </c>
      <c r="C76" s="64"/>
      <c r="D76" s="65">
        <v>1</v>
      </c>
      <c r="E76" s="65"/>
      <c r="F76" s="65"/>
      <c r="G76" s="65"/>
      <c r="H76" s="5"/>
      <c r="I76" s="65">
        <v>0</v>
      </c>
      <c r="J76" s="65"/>
      <c r="K76" s="7"/>
      <c r="L76" s="17">
        <v>1</v>
      </c>
      <c r="M76" s="17">
        <v>1</v>
      </c>
      <c r="N76" s="17">
        <v>1</v>
      </c>
      <c r="O76" s="17">
        <v>1</v>
      </c>
    </row>
    <row r="77" spans="2:15" ht="9.75">
      <c r="B77" s="64" t="s">
        <v>83</v>
      </c>
      <c r="C77" s="64"/>
      <c r="D77" s="65">
        <v>2</v>
      </c>
      <c r="E77" s="65"/>
      <c r="F77" s="65">
        <v>1</v>
      </c>
      <c r="G77" s="65"/>
      <c r="H77" s="5"/>
      <c r="I77" s="65">
        <v>0</v>
      </c>
      <c r="J77" s="65"/>
      <c r="K77" s="7"/>
      <c r="L77" s="17">
        <v>2</v>
      </c>
      <c r="M77" s="17">
        <v>2</v>
      </c>
      <c r="N77" s="17">
        <v>2</v>
      </c>
      <c r="O77" s="17">
        <v>2</v>
      </c>
    </row>
    <row r="78" spans="2:15" ht="11.25" customHeight="1">
      <c r="B78" s="59" t="s">
        <v>46</v>
      </c>
      <c r="C78" s="59"/>
      <c r="D78" s="60">
        <v>7</v>
      </c>
      <c r="E78" s="60"/>
      <c r="F78" s="60"/>
      <c r="G78" s="60"/>
      <c r="H78" s="10"/>
      <c r="I78" s="60"/>
      <c r="J78" s="60"/>
      <c r="K78" s="10"/>
      <c r="L78" s="18">
        <f>SUM(L73:L77)</f>
        <v>5</v>
      </c>
      <c r="M78" s="18">
        <f>SUM(M73:M77)</f>
        <v>5</v>
      </c>
      <c r="N78" s="18">
        <f>SUM(N73:N77)</f>
        <v>5</v>
      </c>
      <c r="O78" s="18">
        <f>SUM(O73:O77)</f>
        <v>5</v>
      </c>
    </row>
    <row r="79" spans="2:15" ht="12" customHeight="1">
      <c r="B79" s="111" t="s">
        <v>84</v>
      </c>
      <c r="C79" s="111"/>
      <c r="D79" s="112">
        <v>10</v>
      </c>
      <c r="E79" s="112"/>
      <c r="F79" s="113">
        <v>5</v>
      </c>
      <c r="G79" s="113"/>
      <c r="H79" s="24"/>
      <c r="I79" s="113">
        <v>0</v>
      </c>
      <c r="J79" s="113"/>
      <c r="K79" s="23" t="s">
        <v>24</v>
      </c>
      <c r="L79" s="18">
        <v>10</v>
      </c>
      <c r="M79" s="18">
        <v>10</v>
      </c>
      <c r="N79" s="18">
        <v>10</v>
      </c>
      <c r="O79" s="18">
        <v>10</v>
      </c>
    </row>
    <row r="80" spans="2:15" ht="11.25" customHeight="1">
      <c r="B80" s="62" t="s">
        <v>85</v>
      </c>
      <c r="C80" s="62"/>
      <c r="D80" s="63">
        <v>100</v>
      </c>
      <c r="E80" s="63"/>
      <c r="F80" s="63"/>
      <c r="G80" s="63"/>
      <c r="H80" s="25"/>
      <c r="I80" s="63"/>
      <c r="J80" s="63"/>
      <c r="K80" s="25"/>
      <c r="L80" s="31"/>
      <c r="M80" s="31"/>
      <c r="N80" s="31"/>
      <c r="O80" s="31"/>
    </row>
    <row r="81" spans="2:15" ht="11.25" customHeight="1">
      <c r="B81" s="54" t="s">
        <v>86</v>
      </c>
      <c r="C81" s="55"/>
      <c r="D81" s="55"/>
      <c r="E81" s="55"/>
      <c r="F81" s="55"/>
      <c r="G81" s="55"/>
      <c r="H81" s="55"/>
      <c r="I81" s="55"/>
      <c r="J81" s="55"/>
      <c r="K81" s="56"/>
      <c r="L81" s="19" t="s">
        <v>226</v>
      </c>
      <c r="M81" s="19" t="s">
        <v>227</v>
      </c>
      <c r="N81" s="19" t="s">
        <v>227</v>
      </c>
      <c r="O81" s="19" t="s">
        <v>226</v>
      </c>
    </row>
    <row r="82" spans="2:15" ht="11.25" customHeight="1">
      <c r="B82" s="54" t="s">
        <v>87</v>
      </c>
      <c r="C82" s="55"/>
      <c r="D82" s="55"/>
      <c r="E82" s="55"/>
      <c r="F82" s="55"/>
      <c r="G82" s="55"/>
      <c r="H82" s="55"/>
      <c r="I82" s="55"/>
      <c r="J82" s="55"/>
      <c r="K82" s="56"/>
      <c r="L82" s="19">
        <v>24</v>
      </c>
      <c r="M82" s="19">
        <v>24</v>
      </c>
      <c r="N82" s="19">
        <v>24</v>
      </c>
      <c r="O82" s="19">
        <v>24</v>
      </c>
    </row>
    <row r="83" spans="2:15" ht="11.25" customHeight="1">
      <c r="B83" s="54" t="s">
        <v>88</v>
      </c>
      <c r="C83" s="55"/>
      <c r="D83" s="55"/>
      <c r="E83" s="55"/>
      <c r="F83" s="55"/>
      <c r="G83" s="55"/>
      <c r="H83" s="55"/>
      <c r="I83" s="55"/>
      <c r="J83" s="55"/>
      <c r="K83" s="56"/>
      <c r="L83" s="32" t="s">
        <v>228</v>
      </c>
      <c r="M83" s="32" t="s">
        <v>229</v>
      </c>
      <c r="N83" s="32" t="s">
        <v>229</v>
      </c>
      <c r="O83" s="32" t="s">
        <v>228</v>
      </c>
    </row>
    <row r="84" spans="2:15" ht="11.25">
      <c r="B84" s="57" t="s">
        <v>196</v>
      </c>
      <c r="C84" s="57"/>
      <c r="D84" s="57"/>
      <c r="E84" s="57"/>
      <c r="F84" s="57"/>
      <c r="G84" s="57"/>
      <c r="H84" s="57"/>
      <c r="I84" s="57"/>
      <c r="J84" s="57"/>
      <c r="K84" s="57"/>
      <c r="L84" s="33"/>
      <c r="M84" s="33"/>
      <c r="N84" s="33"/>
      <c r="O84" s="33"/>
    </row>
    <row r="85" spans="2:15" ht="10.5" customHeight="1">
      <c r="B85" s="26" t="s">
        <v>91</v>
      </c>
      <c r="C85" s="106" t="s">
        <v>92</v>
      </c>
      <c r="D85" s="106"/>
      <c r="E85" s="106"/>
      <c r="F85" s="106"/>
      <c r="G85" s="106"/>
      <c r="H85" s="106"/>
      <c r="I85" s="106"/>
      <c r="J85" s="106"/>
      <c r="K85" s="106"/>
      <c r="L85" s="19"/>
      <c r="M85" s="19"/>
      <c r="N85" s="19"/>
      <c r="O85" s="19"/>
    </row>
    <row r="86" spans="2:15" ht="11.25" customHeight="1">
      <c r="B86" s="26" t="s">
        <v>93</v>
      </c>
      <c r="C86" s="106" t="s">
        <v>94</v>
      </c>
      <c r="D86" s="106"/>
      <c r="E86" s="106"/>
      <c r="F86" s="106"/>
      <c r="G86" s="106"/>
      <c r="H86" s="106"/>
      <c r="I86" s="106"/>
      <c r="J86" s="106"/>
      <c r="K86" s="106"/>
      <c r="L86" s="19"/>
      <c r="M86" s="19"/>
      <c r="N86" s="19"/>
      <c r="O86" s="19"/>
    </row>
    <row r="87" spans="2:15" ht="11.25" customHeight="1">
      <c r="B87" s="26" t="s">
        <v>95</v>
      </c>
      <c r="C87" s="106" t="s">
        <v>96</v>
      </c>
      <c r="D87" s="106"/>
      <c r="E87" s="106"/>
      <c r="F87" s="106"/>
      <c r="G87" s="106"/>
      <c r="H87" s="106"/>
      <c r="I87" s="106"/>
      <c r="J87" s="106"/>
      <c r="K87" s="106"/>
      <c r="L87" s="19"/>
      <c r="M87" s="19"/>
      <c r="N87" s="19"/>
      <c r="O87" s="19"/>
    </row>
    <row r="88" spans="2:15" ht="11.25">
      <c r="B88" s="107" t="s">
        <v>97</v>
      </c>
      <c r="C88" s="108"/>
      <c r="D88" s="108"/>
      <c r="E88" s="108"/>
      <c r="F88" s="108"/>
      <c r="G88" s="108"/>
      <c r="H88" s="108"/>
      <c r="I88" s="108"/>
      <c r="J88" s="108"/>
      <c r="K88" s="108"/>
      <c r="L88" s="33"/>
      <c r="M88" s="33"/>
      <c r="N88" s="33"/>
      <c r="O88" s="33"/>
    </row>
    <row r="89" spans="2:15" ht="57.75" customHeight="1">
      <c r="B89" s="117" t="s">
        <v>230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</row>
    <row r="90" spans="2:15" ht="11.25">
      <c r="B90" s="107" t="s">
        <v>98</v>
      </c>
      <c r="C90" s="108"/>
      <c r="D90" s="108"/>
      <c r="E90" s="108"/>
      <c r="F90" s="108"/>
      <c r="G90" s="108"/>
      <c r="H90" s="108"/>
      <c r="I90" s="108"/>
      <c r="J90" s="108"/>
      <c r="K90" s="108"/>
      <c r="L90" s="34"/>
      <c r="M90" s="34"/>
      <c r="N90" s="34"/>
      <c r="O90" s="34"/>
    </row>
    <row r="91" spans="2:15" ht="55.5" customHeight="1">
      <c r="B91" s="119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</row>
    <row r="92" spans="2:15" ht="11.25">
      <c r="B92" s="107" t="s">
        <v>99</v>
      </c>
      <c r="C92" s="108"/>
      <c r="D92" s="108"/>
      <c r="E92" s="108"/>
      <c r="F92" s="108"/>
      <c r="G92" s="108"/>
      <c r="H92" s="108"/>
      <c r="I92" s="108"/>
      <c r="J92" s="108"/>
      <c r="K92" s="108"/>
      <c r="L92" s="34"/>
      <c r="M92" s="34"/>
      <c r="N92" s="34"/>
      <c r="O92" s="34"/>
    </row>
    <row r="93" spans="2:15" ht="135.6" customHeight="1">
      <c r="B93" s="27" t="s">
        <v>231</v>
      </c>
      <c r="C93" s="28"/>
      <c r="D93" s="28"/>
      <c r="E93" s="28"/>
      <c r="F93" s="28"/>
      <c r="G93" s="28"/>
      <c r="H93" s="28"/>
      <c r="I93" s="28"/>
      <c r="J93" s="28"/>
      <c r="K93" s="35"/>
      <c r="L93" s="36"/>
      <c r="M93" s="37"/>
      <c r="N93" s="37"/>
      <c r="O93" s="37"/>
    </row>
    <row r="94" spans="2:15" ht="10.5">
      <c r="B94" s="29"/>
      <c r="C94" s="29"/>
      <c r="D94" s="30"/>
      <c r="E94" s="30"/>
      <c r="F94" s="30"/>
      <c r="G94" s="30"/>
      <c r="H94" s="30"/>
      <c r="I94" s="30"/>
      <c r="J94" s="30"/>
      <c r="K94" s="30"/>
    </row>
  </sheetData>
  <mergeCells count="286">
    <mergeCell ref="B3:K3"/>
    <mergeCell ref="B4:K4"/>
    <mergeCell ref="B5:K5"/>
    <mergeCell ref="B6:D6"/>
    <mergeCell ref="E6:K6"/>
    <mergeCell ref="B7:D7"/>
    <mergeCell ref="E7:K7"/>
    <mergeCell ref="B8:D8"/>
    <mergeCell ref="E8:K8"/>
    <mergeCell ref="B9:D9"/>
    <mergeCell ref="E9:K9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6:K16"/>
    <mergeCell ref="B17:C17"/>
    <mergeCell ref="D17:E17"/>
    <mergeCell ref="F17:G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B44:K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55:C55"/>
    <mergeCell ref="D55:E55"/>
    <mergeCell ref="F55:G55"/>
    <mergeCell ref="I55:J55"/>
    <mergeCell ref="B56:C56"/>
    <mergeCell ref="D56:E56"/>
    <mergeCell ref="F56:G56"/>
    <mergeCell ref="I56:J56"/>
    <mergeCell ref="B57:C57"/>
    <mergeCell ref="D57:E57"/>
    <mergeCell ref="F57:G57"/>
    <mergeCell ref="I57:J57"/>
    <mergeCell ref="B58:C58"/>
    <mergeCell ref="D58:E58"/>
    <mergeCell ref="F58:G58"/>
    <mergeCell ref="I58:J58"/>
    <mergeCell ref="B59:C59"/>
    <mergeCell ref="D59:E59"/>
    <mergeCell ref="F59:G59"/>
    <mergeCell ref="I59:J59"/>
    <mergeCell ref="B60:C60"/>
    <mergeCell ref="D60:E60"/>
    <mergeCell ref="F60:G60"/>
    <mergeCell ref="I60:J60"/>
    <mergeCell ref="B61:C61"/>
    <mergeCell ref="D61:E61"/>
    <mergeCell ref="F61:G61"/>
    <mergeCell ref="I61:J61"/>
    <mergeCell ref="B62:C62"/>
    <mergeCell ref="D62:E62"/>
    <mergeCell ref="F62:G62"/>
    <mergeCell ref="I62:J62"/>
    <mergeCell ref="B63:C63"/>
    <mergeCell ref="D63:E63"/>
    <mergeCell ref="F63:G63"/>
    <mergeCell ref="I63:J63"/>
    <mergeCell ref="B64:C64"/>
    <mergeCell ref="D64:E64"/>
    <mergeCell ref="F64:G64"/>
    <mergeCell ref="I64:J64"/>
    <mergeCell ref="B65:C65"/>
    <mergeCell ref="D65:E65"/>
    <mergeCell ref="F65:G65"/>
    <mergeCell ref="I65:J65"/>
    <mergeCell ref="B66:C66"/>
    <mergeCell ref="D66:E66"/>
    <mergeCell ref="F66:G66"/>
    <mergeCell ref="I66:J66"/>
    <mergeCell ref="B67:C67"/>
    <mergeCell ref="D67:E67"/>
    <mergeCell ref="F67:G67"/>
    <mergeCell ref="I67:J67"/>
    <mergeCell ref="B68:C68"/>
    <mergeCell ref="D68:E68"/>
    <mergeCell ref="F68:G68"/>
    <mergeCell ref="I68:J68"/>
    <mergeCell ref="B69:C69"/>
    <mergeCell ref="D69:E69"/>
    <mergeCell ref="F69:G69"/>
    <mergeCell ref="I69:J69"/>
    <mergeCell ref="B70:C70"/>
    <mergeCell ref="D70:E70"/>
    <mergeCell ref="F70:G70"/>
    <mergeCell ref="I70:J70"/>
    <mergeCell ref="B71:C71"/>
    <mergeCell ref="D71:E71"/>
    <mergeCell ref="F71:G71"/>
    <mergeCell ref="I71:J71"/>
    <mergeCell ref="B72:C72"/>
    <mergeCell ref="D72:E72"/>
    <mergeCell ref="F72:G72"/>
    <mergeCell ref="I72:J72"/>
    <mergeCell ref="B73:C73"/>
    <mergeCell ref="D73:E73"/>
    <mergeCell ref="F73:G73"/>
    <mergeCell ref="I73:J73"/>
    <mergeCell ref="B74:C74"/>
    <mergeCell ref="D74:E74"/>
    <mergeCell ref="F74:G74"/>
    <mergeCell ref="I74:J74"/>
    <mergeCell ref="B75:C75"/>
    <mergeCell ref="D75:E75"/>
    <mergeCell ref="F75:G75"/>
    <mergeCell ref="I75:J75"/>
    <mergeCell ref="B76:C76"/>
    <mergeCell ref="D76:E76"/>
    <mergeCell ref="F76:G76"/>
    <mergeCell ref="I76:J76"/>
    <mergeCell ref="B77:C77"/>
    <mergeCell ref="D77:E77"/>
    <mergeCell ref="F77:G77"/>
    <mergeCell ref="I77:J77"/>
    <mergeCell ref="B78:C78"/>
    <mergeCell ref="D78:E78"/>
    <mergeCell ref="F78:G78"/>
    <mergeCell ref="I78:J78"/>
    <mergeCell ref="B79:C79"/>
    <mergeCell ref="D79:E79"/>
    <mergeCell ref="F79:G79"/>
    <mergeCell ref="I79:J79"/>
    <mergeCell ref="C86:K86"/>
    <mergeCell ref="C87:K87"/>
    <mergeCell ref="B88:K88"/>
    <mergeCell ref="B89:O89"/>
    <mergeCell ref="B90:K90"/>
    <mergeCell ref="B91:O91"/>
    <mergeCell ref="B92:K92"/>
    <mergeCell ref="B80:C80"/>
    <mergeCell ref="D80:E80"/>
    <mergeCell ref="F80:G80"/>
    <mergeCell ref="I80:J80"/>
    <mergeCell ref="B81:K81"/>
    <mergeCell ref="B82:K82"/>
    <mergeCell ref="B83:K83"/>
    <mergeCell ref="B84:K84"/>
    <mergeCell ref="C85:K8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anex5-CONSULTA EXTERNA</vt:lpstr>
      <vt:lpstr>anex5-instructivo</vt:lpstr>
      <vt:lpstr>evalúa anexo5 -lleno 1HC</vt:lpstr>
      <vt:lpstr>Gráfico1</vt:lpstr>
      <vt:lpstr>ejemplo -variasHC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ELIZABETH SUAREZ CARDENAS</dc:creator>
  <cp:lastModifiedBy>EMERSON ANGEL MADRID HERRERA</cp:lastModifiedBy>
  <cp:lastPrinted>2020-09-28T19:04:00Z</cp:lastPrinted>
  <dcterms:created xsi:type="dcterms:W3CDTF">2015-11-24T16:39:00Z</dcterms:created>
  <dcterms:modified xsi:type="dcterms:W3CDTF">2025-11-16T21:59:10Z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0C00663D951B4F1AA59C7DA1345E7372_13</vt:lpwstr>
  </property>
  <property fmtid="{D5CDD505-2E9C-101B-9397-08002B2CF9AE}" pid="3" name="KSOProductBuildVer">
    <vt:lpwstr>3082-12.2.0.22549</vt:lpwstr>
  </property>
</Properties>
</file>